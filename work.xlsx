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1"/>
  </bookViews>
  <sheets>
    <sheet name="考核维度" sheetId="1" r:id="rId1"/>
    <sheet name="小红书6月月报" sheetId="2" r:id="rId2"/>
  </sheets>
  <externalReferences>
    <externalReference r:id="rId3"/>
  </externalReferences>
  <definedNames>
    <definedName name="_xlnm._FilterDatabase" localSheetId="1" hidden="1">小红书6月月报!$B$1:$X$343</definedName>
    <definedName name="_xlnm._Filter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<sst xmlns="http://schemas.openxmlformats.org/spreadsheetml/2006/main" count="1825" uniqueCount="483">
  <si>
    <t>考核维度</t>
  </si>
  <si>
    <t>考核占比</t>
  </si>
  <si>
    <t>当月考核</t>
  </si>
  <si>
    <t>备注</t>
  </si>
  <si>
    <t>计划量级</t>
  </si>
  <si>
    <t>预算，内容发布量，计划完成度等维度</t>
  </si>
  <si>
    <t>成长性</t>
  </si>
  <si>
    <t>环比，同比近期数据，有无进步</t>
  </si>
  <si>
    <t>工作态度</t>
  </si>
  <si>
    <t>日常工作是否认真，有执行力</t>
  </si>
  <si>
    <t>团队贡献</t>
  </si>
  <si>
    <t>对团队整体能效贡献程度</t>
  </si>
  <si>
    <t>加分项</t>
  </si>
  <si>
    <t>额外奖励（优质爆文，突出表现等，根据具体情况不定期调整）</t>
  </si>
  <si>
    <t>计划</t>
  </si>
  <si>
    <t>产品品类</t>
  </si>
  <si>
    <t>产品名称</t>
  </si>
  <si>
    <t>预算</t>
  </si>
  <si>
    <t>预发布量</t>
  </si>
  <si>
    <t>预曝光量</t>
  </si>
  <si>
    <t>预阅读量</t>
  </si>
  <si>
    <t>预互动量</t>
  </si>
  <si>
    <t>本月规划</t>
  </si>
  <si>
    <t>6月5D零感哺乳内衣</t>
  </si>
  <si>
    <t>内着瘦身</t>
  </si>
  <si>
    <t>5D零感哺乳内衣</t>
  </si>
  <si>
    <t>达成率</t>
  </si>
  <si>
    <t>内容方向仍走好物直推，形式图文为主，外加一两篇视频笔记（干货/好物推荐），尽量找可上身的博主。</t>
  </si>
  <si>
    <t>时间</t>
  </si>
  <si>
    <t>总预算</t>
  </si>
  <si>
    <t>产品</t>
  </si>
  <si>
    <t>发布量</t>
  </si>
  <si>
    <t>笔记预算</t>
  </si>
  <si>
    <t>投流预算</t>
  </si>
  <si>
    <t>实际花费</t>
  </si>
  <si>
    <t>曝光量</t>
  </si>
  <si>
    <t>阅读量</t>
  </si>
  <si>
    <t>互动量</t>
  </si>
  <si>
    <t>互动率</t>
  </si>
  <si>
    <t>点赞量</t>
  </si>
  <si>
    <t>阅读成本</t>
  </si>
  <si>
    <t>互动成本</t>
  </si>
  <si>
    <t>进店UV</t>
  </si>
  <si>
    <t>进店成本</t>
  </si>
  <si>
    <t>爆文量</t>
  </si>
  <si>
    <t>爆文率</t>
  </si>
  <si>
    <t>KOL占比</t>
  </si>
  <si>
    <t>KOC占比</t>
  </si>
  <si>
    <t>笔记量</t>
  </si>
  <si>
    <t>4月</t>
  </si>
  <si>
    <t>5月</t>
  </si>
  <si>
    <t>6月</t>
  </si>
  <si>
    <t>/</t>
  </si>
  <si>
    <t>6月1日-6月30日</t>
  </si>
  <si>
    <t>总花费</t>
  </si>
  <si>
    <t>本月完成情况</t>
  </si>
  <si>
    <t>关键节点</t>
  </si>
  <si>
    <t>小红书</t>
  </si>
  <si>
    <t>笔记ID</t>
  </si>
  <si>
    <t>博主昵称</t>
  </si>
  <si>
    <t>笔记标题</t>
  </si>
  <si>
    <t>发布日期</t>
  </si>
  <si>
    <t>小红星广告金额</t>
  </si>
  <si>
    <t>环比上月</t>
  </si>
  <si>
    <t>笔记来源</t>
  </si>
  <si>
    <t>种草形式</t>
  </si>
  <si>
    <t>2篇笔记点赞量破百，种草形式均是好物直推且封面都是上身图。除了发布量，其余都超出上月预估数据，还有挑选的就是粉丝阅读和互动占比较高的博主，她们也很配合维护评论区，所以阅读和互动成本较上月有所降低。
评论区这块容易有竞对评论，均已联系博主删除。</t>
  </si>
  <si>
    <t>视频</t>
  </si>
  <si>
    <t>1v1kol</t>
  </si>
  <si>
    <t>667a3995000000001c037053</t>
  </si>
  <si>
    <t>竹子妈妈育儿记</t>
  </si>
  <si>
    <t>母乳3年含泪总结❗提前了解少受罪</t>
  </si>
  <si>
    <t>定制合作</t>
  </si>
  <si>
    <t>干货科普</t>
  </si>
  <si>
    <t>图文</t>
  </si>
  <si>
    <t>66711701000000001d014a84</t>
  </si>
  <si>
    <t>米花</t>
  </si>
  <si>
    <t>四次哺乳经历胸部依然挺拔的小心机～</t>
  </si>
  <si>
    <t>好物直推</t>
  </si>
  <si>
    <t>666fe4380000000006005226</t>
  </si>
  <si>
    <t>一只陈噗噗</t>
  </si>
  <si>
    <t>产后如何保持好看不下垂的胸型！看这里</t>
  </si>
  <si>
    <t>6662e7de000000000e033daa</t>
  </si>
  <si>
    <t>陈陈🌙</t>
  </si>
  <si>
    <t>怀个孕而已！女娲你把谁的胸捏我身上了</t>
  </si>
  <si>
    <t>665ffeab000000001303d86f</t>
  </si>
  <si>
    <t>等不及的等等</t>
  </si>
  <si>
    <t>辣妈必备的时尚哺乳内衣</t>
  </si>
  <si>
    <t>66596c35000000001401ac9f</t>
  </si>
  <si>
    <t>十元里鹅.</t>
  </si>
  <si>
    <t>她们说夏天要断奶，竟是因为胸型不好看...</t>
  </si>
  <si>
    <t>koc</t>
  </si>
  <si>
    <t>6678deb2000000001f0078c5</t>
  </si>
  <si>
    <t>琰琰夏日</t>
  </si>
  <si>
    <t>孕27w | 舒服到不想脱的哺乳内衣👙～</t>
  </si>
  <si>
    <t>置换报备</t>
  </si>
  <si>
    <t>665ffbf300000000060075f6</t>
  </si>
  <si>
    <t>轩轩吃饱了～（二胎孕期）</t>
  </si>
  <si>
    <t>感人！！真的爱惨了介个哺乳内衣</t>
  </si>
  <si>
    <t>笔记汇总</t>
  </si>
  <si>
    <t>聚光投流</t>
  </si>
  <si>
    <t>66139b32000000001a011059</t>
  </si>
  <si>
    <t>0sting</t>
  </si>
  <si>
    <t>661f638300000000010079e3</t>
  </si>
  <si>
    <t>@就是呦呦妈</t>
  </si>
  <si>
    <t>660d0614000000001a013f1f</t>
  </si>
  <si>
    <t>FF1babe</t>
  </si>
  <si>
    <t>661f608a000000000d03107b</t>
  </si>
  <si>
    <t>Kiko💛（孕晚期）</t>
  </si>
  <si>
    <t>Winsy的笑旅日记（孕中期）</t>
  </si>
  <si>
    <t>✨KISA的奇妙冒险</t>
  </si>
  <si>
    <t>不高兴🐰</t>
  </si>
  <si>
    <t>66379351000000001e03b50d</t>
  </si>
  <si>
    <t>以诺</t>
  </si>
  <si>
    <t>叶憬忆</t>
  </si>
  <si>
    <t>吉小米</t>
  </si>
  <si>
    <t>66308be9000000001e01f895</t>
  </si>
  <si>
    <t>小程好脾气🍊</t>
  </si>
  <si>
    <t>6639a2ff000000001e0243f9</t>
  </si>
  <si>
    <t>小米麻麻🐝</t>
  </si>
  <si>
    <t>小花生</t>
  </si>
  <si>
    <t>6642e1b1000000001e025cf7</t>
  </si>
  <si>
    <t>我是大学生我知道</t>
  </si>
  <si>
    <t>66274859000000000401af3d</t>
  </si>
  <si>
    <t>是小杨杨耶</t>
  </si>
  <si>
    <t>有一个噗噗</t>
  </si>
  <si>
    <t>66066cdd0000000012031cf8</t>
  </si>
  <si>
    <t>杨杨杨子Young（孕期）</t>
  </si>
  <si>
    <t>闪闪发光是妈妈</t>
  </si>
  <si>
    <t>66061c2c0000000012023d61</t>
  </si>
  <si>
    <t>黄妹美了</t>
  </si>
  <si>
    <t>投流汇总</t>
  </si>
  <si>
    <t>汇总</t>
  </si>
  <si>
    <t>下月计划</t>
  </si>
  <si>
    <t>下月规划</t>
  </si>
  <si>
    <t>7月5d零感哺乳内衣</t>
  </si>
  <si>
    <t>升级暂停</t>
  </si>
  <si>
    <t>6月茶霜月子服</t>
  </si>
  <si>
    <t>快反外着</t>
  </si>
  <si>
    <t>茶霜月子服</t>
  </si>
  <si>
    <t>总预算9000，其中5000用于共创合作，招募了8名博主，截止至6月3日已发布7篇，主推茶霜月子服，其余4000元以合集形式种草。</t>
  </si>
  <si>
    <t>3月</t>
  </si>
  <si>
    <t>有4篇共创笔记提前到上月发布，剩下4篇在本月均已发布，还有两篇视频合集，数据一般但是进店uv比单篇好。</t>
  </si>
  <si>
    <t>667539fd000000001e0102fd</t>
  </si>
  <si>
    <t>蜡笔小猪🐷哺乳期</t>
  </si>
  <si>
    <t>绝好看居家月子服，清清爽爽坐月子</t>
  </si>
  <si>
    <t>-</t>
  </si>
  <si>
    <t>好物合集</t>
  </si>
  <si>
    <t>666abd680000000006004981</t>
  </si>
  <si>
    <t>美少爷们儿(孕晚期)</t>
  </si>
  <si>
    <t>春夏月子服合集来啦！美美坐月子</t>
  </si>
  <si>
    <t>665dc0b80000000015008d36</t>
  </si>
  <si>
    <t>Ally哦</t>
  </si>
  <si>
    <t>从孕期美到生的月子服 清新又温柔✨</t>
  </si>
  <si>
    <t>共创合作</t>
  </si>
  <si>
    <t>665ba926000000000c01a103</t>
  </si>
  <si>
    <t>是小杏仁儿呀！</t>
  </si>
  <si>
    <r>
      <t>二胎妈妈告诉你月子服有没有必要买㊙</t>
    </r>
    <r>
      <rPr>
        <sz val="11"/>
        <color rgb="FF000000"/>
        <rFont val="SimSun"/>
        <charset val="134"/>
      </rPr>
      <t>️</t>
    </r>
  </si>
  <si>
    <t>665d63e50000000005006bd9</t>
  </si>
  <si>
    <t>君君酱吖～</t>
  </si>
  <si>
    <t>夏天坐月子我已经next level咯～</t>
  </si>
  <si>
    <t>665aa345000000001401a4c9</t>
  </si>
  <si>
    <t>嘟嘟噜嘟（孕晚期）</t>
  </si>
  <si>
    <t>又是夏天生孩子！能劝一个是一个</t>
  </si>
  <si>
    <t>667a196f000000001c020ff5</t>
  </si>
  <si>
    <t>沫沫是个白白大胖妞</t>
  </si>
  <si>
    <t>好穿的月子服｜从秋天穿到春天🍃再到夏天🌞</t>
  </si>
  <si>
    <t>6678d115000000001c02534b</t>
  </si>
  <si>
    <t>胖虎（二胎孕中期）</t>
  </si>
  <si>
    <r>
      <t>孕期囤货日记2</t>
    </r>
    <r>
      <rPr>
        <sz val="11"/>
        <color rgb="FF000000"/>
        <rFont val="SimSun"/>
        <charset val="134"/>
      </rPr>
      <t>️</t>
    </r>
    <r>
      <rPr>
        <sz val="11"/>
        <color rgb="FF000000"/>
        <rFont val="Times New Roman"/>
        <charset val="134"/>
      </rPr>
      <t>⃣</t>
    </r>
    <r>
      <rPr>
        <sz val="11"/>
        <color rgb="FF000000"/>
        <rFont val="宋体"/>
        <charset val="134"/>
      </rPr>
      <t>Ⅰ现在的月子服都这么卷了吗</t>
    </r>
  </si>
  <si>
    <t>667668dc000000001f004126</t>
  </si>
  <si>
    <t>Winsy的笑旅日记（孕晚期）</t>
  </si>
  <si>
    <t>孕30W｜怀个孕到底要多少件月子服呀！太舒服</t>
  </si>
  <si>
    <t>66714ca6000000001c028428</t>
  </si>
  <si>
    <t>六月大宝贝</t>
  </si>
  <si>
    <t>哇塞，这款十月结晶月子服简直太棒了</t>
  </si>
  <si>
    <t>666fd832000000000e033c4a</t>
  </si>
  <si>
    <t>七喜麻麻呀</t>
  </si>
  <si>
    <t>谁懂啊，产后9个月了我还在穿月子服😅</t>
  </si>
  <si>
    <t>666bc734000000001d01a997</t>
  </si>
  <si>
    <t>生生大福</t>
  </si>
  <si>
    <t>好哇塞 一定要分享这款超级好穿的月子服</t>
  </si>
  <si>
    <t>6667ebe2000000001c02368a</t>
  </si>
  <si>
    <t>小小野坐月子</t>
  </si>
  <si>
    <t>挖到一件巨好看的中式哺乳睡衣</t>
  </si>
  <si>
    <t>66626920000000001303d243</t>
  </si>
  <si>
    <t>蛋黄堡堡子</t>
  </si>
  <si>
    <t>孕期就开始穿的月子服👏</t>
  </si>
  <si>
    <t>66517f6e0000000005007bdf</t>
  </si>
  <si>
    <t>恩予</t>
  </si>
  <si>
    <t>7月茶霜月子服</t>
  </si>
  <si>
    <t>预计发布8篇，以好物直推为主，2篇尝试月子期注意事项/月子服怎么选等干货主题。</t>
  </si>
  <si>
    <t>6月抑菌低腰孕妇内裤</t>
  </si>
  <si>
    <t>抑菌低腰孕妇内裤</t>
  </si>
  <si>
    <t>以孕妈出镜软推/直推为主，在文案/评论区设立互动点，如喜欢高腰o r低腰等，降低互动成本。</t>
  </si>
  <si>
    <t>共发布6篇，有篇提前到上月，其中三篇笔记点赞量破百，找的大部分是孕期博主，进行好物直推，尝试了一篇干货笔记，种草效果还不错。</t>
  </si>
  <si>
    <t>667a6177000000001c024ed2</t>
  </si>
  <si>
    <t>一只小糊糊</t>
  </si>
  <si>
    <t>从孕期一直穿到产后的孕妇内裤！真的巨好穿！</t>
  </si>
  <si>
    <t>6670e79d000000001c035552</t>
  </si>
  <si>
    <t>等夏班🍋（龙凤胎）</t>
  </si>
  <si>
    <t>🌟最全干货！看完后孕妈妈别再乱买内裤了～</t>
  </si>
  <si>
    <t>666bee67000000001d0145f6</t>
  </si>
  <si>
    <t>不熬夜的泡泡（月子中）</t>
  </si>
  <si>
    <t>孕39周➕稳如泰山！出来喝个咖啡</t>
  </si>
  <si>
    <t>6662cbcd0000000015013427</t>
  </si>
  <si>
    <t>佳毅弟弟</t>
  </si>
  <si>
    <t>孕妇内裤怎么选❓一篇解决你的疑惑🤔</t>
  </si>
  <si>
    <t>6662cc3b000000001303ca1f</t>
  </si>
  <si>
    <t>Andy爱吃肉肉（三胎孕期）</t>
  </si>
  <si>
    <t>三胎还在回购的孕妇内裤是有多好穿！</t>
  </si>
  <si>
    <t>665eebce000000000d00ec7c</t>
  </si>
  <si>
    <t>小萌同学当妈啦！</t>
  </si>
  <si>
    <t>孕38w｜婆婆夸我真会买！</t>
  </si>
  <si>
    <t>7月抑菌低腰孕妇内裤</t>
  </si>
  <si>
    <t>发布3-4篇，好物直推为主，再发1篇干货类型，增加笔记类型。</t>
  </si>
  <si>
    <t>6月防溢乳垫</t>
  </si>
  <si>
    <t>快消卫品</t>
  </si>
  <si>
    <t>防溢乳垫</t>
  </si>
  <si>
    <t>6月份继续出几篇正确用法和直推，好物合集安排一篇，增加种草概率，寻找新的种草主题。</t>
  </si>
  <si>
    <t>有一篇提前到上月发布，另外没有置换笔记，所以低于预估发布量，但是综合数据在所有品类里仍保持最优。</t>
  </si>
  <si>
    <t>666c0f48000000000d00e566</t>
  </si>
  <si>
    <t>一只狮仔</t>
  </si>
  <si>
    <t>真🐮！终于找到超薄又能吸的防溢乳垫了！</t>
  </si>
  <si>
    <t>6662d1fe0000000006007a4d</t>
  </si>
  <si>
    <t>米朵麻麻(孕期)</t>
  </si>
  <si>
    <t>母乳妈妈618好物囤货清单🧾月子里九了我敏</t>
  </si>
  <si>
    <t>665d50ac000000001303c1e0</t>
  </si>
  <si>
    <t>tsuki</t>
  </si>
  <si>
    <t>母乳妈妈必看！防溢乳垫的正确用法</t>
  </si>
  <si>
    <t>好物软推</t>
  </si>
  <si>
    <t>665aa0f8000000000c01ad71</t>
  </si>
  <si>
    <t>原来是图图呀</t>
  </si>
  <si>
    <t>不是吧，竟然还有人觉得奶少就不用防溢乳垫</t>
  </si>
  <si>
    <t>65b206ef000000000c005df4</t>
  </si>
  <si>
    <t>迟温柔</t>
  </si>
  <si>
    <t>655ee0560000000033003621</t>
  </si>
  <si>
    <t>小眙麻麻</t>
  </si>
  <si>
    <t>65d572db000000000b023689</t>
  </si>
  <si>
    <t>噗妈的育儿日记</t>
  </si>
  <si>
    <t>65f668040000000012034e5a</t>
  </si>
  <si>
    <t>饼饼baby</t>
  </si>
  <si>
    <t>661cd23f000000001a00f168</t>
  </si>
  <si>
    <t>one one麻麻</t>
  </si>
  <si>
    <t>6641d9b4000000001e030888</t>
  </si>
  <si>
    <t>小木头麻咪</t>
  </si>
  <si>
    <t>66382e87000000001e0216e9</t>
  </si>
  <si>
    <t>橙妈也是兔妈🐰</t>
  </si>
  <si>
    <t>66433afb000000001e03be86</t>
  </si>
  <si>
    <t>美伢太太。</t>
  </si>
  <si>
    <t>65e82c5200000000010297c3</t>
  </si>
  <si>
    <t>鱼丸粉丝面</t>
  </si>
  <si>
    <t>66124f57000000001a0155db</t>
  </si>
  <si>
    <t>溜溜是66</t>
  </si>
  <si>
    <t>7月防溢乳垫</t>
  </si>
  <si>
    <t>7月份出4篇笔记，主题打算分别是正确用法、合集和溢奶应对方法。</t>
  </si>
  <si>
    <t>6月孕妇打底裤</t>
  </si>
  <si>
    <t>快消外着</t>
  </si>
  <si>
    <t>孕妇打底裤</t>
  </si>
  <si>
    <t>继续找孕妈妈种草，提高发布数量，让更多用户看到新款打底裤。</t>
  </si>
  <si>
    <t>笔记费用最高的小甜锅预计月中发布，可是博主一直拖稿，到最后一天才发布，导致笔记没有充足时间跑，数据不尽人意；另外孕妇品类更适合找孕期博主，进店uv表现都还不错。</t>
  </si>
  <si>
    <t>66805dfa000000001e01060c</t>
  </si>
  <si>
    <t>小甜锅（孕晚期）</t>
  </si>
  <si>
    <t>孕八个月，鲨鱼裤穿搭分享来啦！</t>
  </si>
  <si>
    <t>好物软植</t>
  </si>
  <si>
    <t>66695291000000000e03175f</t>
  </si>
  <si>
    <t>小白菜壮壮</t>
  </si>
  <si>
    <t>孕期穿搭｜一条打底裤穿出不同风格</t>
  </si>
  <si>
    <t>吃波霸的小羊（孕晚期）</t>
  </si>
  <si>
    <r>
      <t>37w | 老公的T恤搭配这条鲨鱼裤真的很绝</t>
    </r>
    <r>
      <rPr>
        <sz val="11"/>
        <color rgb="FF000000"/>
        <rFont val="Times New Roman"/>
        <charset val="134"/>
      </rPr>
      <t>‼</t>
    </r>
    <r>
      <rPr>
        <sz val="11"/>
        <color rgb="FF000000"/>
        <rFont val="SimSun"/>
        <charset val="134"/>
      </rPr>
      <t>️</t>
    </r>
  </si>
  <si>
    <t>665e7638000000001401a655</t>
  </si>
  <si>
    <t>汐汐小脑虎</t>
  </si>
  <si>
    <t>这款孕妇裤设计真的好懂孕妈啊！！！</t>
  </si>
  <si>
    <t>665c65b8000000000f00c402</t>
  </si>
  <si>
    <t>孕33W🤰带崽“飞”起来啦～🩶孕期普拉提穿搭</t>
  </si>
  <si>
    <t>665845d2000000000f00eeb4</t>
  </si>
  <si>
    <t>露西玛丽莲</t>
  </si>
  <si>
    <t>怀孕姐上班又要迟到了！！！</t>
  </si>
  <si>
    <t>6667b462000000000e032c3a</t>
  </si>
  <si>
    <t>Linn</t>
  </si>
  <si>
    <r>
      <t>孕期穿搭｜我是没想过这么好穿</t>
    </r>
    <r>
      <rPr>
        <sz val="11"/>
        <color rgb="FF000000"/>
        <rFont val="Times New Roman"/>
        <charset val="134"/>
      </rPr>
      <t>‼</t>
    </r>
  </si>
  <si>
    <t>664b0bf7000000001401bc81</t>
  </si>
  <si>
    <t>叶王子</t>
  </si>
  <si>
    <t>664ad6a6000000000500501d</t>
  </si>
  <si>
    <t>66541d6a000000000c01a08c</t>
  </si>
  <si>
    <t>6652da1d000000000c019b53</t>
  </si>
  <si>
    <t>不熬夜的泡泡</t>
  </si>
  <si>
    <t>7月孕妇打底裤</t>
  </si>
  <si>
    <t>停止推广</t>
  </si>
  <si>
    <t>6月孕妇牙膏</t>
  </si>
  <si>
    <t>孕产洗护</t>
  </si>
  <si>
    <t>孕妇牙膏</t>
  </si>
  <si>
    <t>孕妇人群对牙膏的认知度尚浅，需要大量干货科普。</t>
  </si>
  <si>
    <t>667a9a14000000001f006557</t>
  </si>
  <si>
    <t>一诺妈咪育儿</t>
  </si>
  <si>
    <t>初次怀孕！！打死不能做这20件事</t>
  </si>
  <si>
    <t>666fb40800000000060072af</t>
  </si>
  <si>
    <r>
      <t>孕期一口好牙全靠它的呵护</t>
    </r>
    <r>
      <rPr>
        <sz val="11"/>
        <color rgb="FF000000"/>
        <rFont val="Times New Roman"/>
        <charset val="134"/>
      </rPr>
      <t>‼</t>
    </r>
    <r>
      <rPr>
        <sz val="11"/>
        <color rgb="FF000000"/>
        <rFont val="SimSun"/>
        <charset val="134"/>
      </rPr>
      <t>️</t>
    </r>
  </si>
  <si>
    <t>66640ec90000000015009cb6</t>
  </si>
  <si>
    <t>🤰🏻孕晚期35W，怀孕期间牙龈出血怎么办？</t>
  </si>
  <si>
    <t>666130db000000000e0338fc</t>
  </si>
  <si>
    <t>小晖晖（孕晚期）</t>
  </si>
  <si>
    <r>
      <t>天呢，这真是我的救星~</t>
    </r>
    <r>
      <rPr>
        <sz val="11"/>
        <color rgb="FF000000"/>
        <rFont val="SimSun"/>
        <charset val="134"/>
      </rPr>
      <t>⭐</t>
    </r>
  </si>
  <si>
    <t>66615b1d0000000006006f43</t>
  </si>
  <si>
    <t>吃榴莲不吐皮</t>
  </si>
  <si>
    <t>所有孕妈都去试试它！刷牙真的不YUE啦~</t>
  </si>
  <si>
    <t>65f13a1a000000000d00d48e</t>
  </si>
  <si>
    <t>超级奶爸带娃日记</t>
  </si>
  <si>
    <t>6634ca92000000001e019e27</t>
  </si>
  <si>
    <t>一只小田</t>
  </si>
  <si>
    <t>6646c010000000001e02190f</t>
  </si>
  <si>
    <t>苒妈叭叭叭</t>
  </si>
  <si>
    <t>6642c09d000000001e038705</t>
  </si>
  <si>
    <t>育婴师Echo妈妈</t>
  </si>
  <si>
    <t>7月孕妇牙膏</t>
  </si>
  <si>
    <t>6月纯水湿厕纸</t>
  </si>
  <si>
    <t>纯水湿厕纸</t>
  </si>
  <si>
    <t>80%%</t>
  </si>
  <si>
    <t>有两篇提前到上月发，本月主要是多品测评，前期审核中被卡审几次，换做live图过审率有所提高。</t>
  </si>
  <si>
    <t>667da86c000000001d015351</t>
  </si>
  <si>
    <t>小嘟可可奈</t>
  </si>
  <si>
    <t>热门湿厕纸测评，看完再决定买哪个！</t>
  </si>
  <si>
    <t>多品测评</t>
  </si>
  <si>
    <t>666bbeb50000000006004c7b</t>
  </si>
  <si>
    <t>一口吃不夏🦐</t>
  </si>
  <si>
    <t>厕所搭子｜没见过芥末好用的纯水湿厕纸…</t>
  </si>
  <si>
    <t>664c1a810000000005007d2c</t>
  </si>
  <si>
    <t>满墩妹妹</t>
  </si>
  <si>
    <t>6款热门湿厕纸测评，肛需一定不要乱买</t>
  </si>
  <si>
    <t>665c4132000000001401977f</t>
  </si>
  <si>
    <t>熹大玥吖（孕晚期）</t>
  </si>
  <si>
    <t>🔥热门婴儿湿厕纸测评，看完不花冤枉钱！</t>
  </si>
  <si>
    <t>65addcaa00000000110097e7</t>
  </si>
  <si>
    <t>爱一只鱼尾</t>
  </si>
  <si>
    <t>65d85cd2000000000b018a7e</t>
  </si>
  <si>
    <t>@一七得八日常记</t>
  </si>
  <si>
    <t>661c9867000000001b010114</t>
  </si>
  <si>
    <t>一顿要吃七碗半</t>
  </si>
  <si>
    <t>6639aa59000000001e038a62</t>
  </si>
  <si>
    <t>包包长大了</t>
  </si>
  <si>
    <t>663cc9da000000001e018c5b</t>
  </si>
  <si>
    <t>@张三妈咪</t>
  </si>
  <si>
    <t>7月纯水湿厕纸</t>
  </si>
  <si>
    <t>6月婴儿净护洗衣液</t>
  </si>
  <si>
    <t>洗护用品</t>
  </si>
  <si>
    <t>婴儿洗衣液</t>
  </si>
  <si>
    <t>净护洗衣液</t>
  </si>
  <si>
    <t>婴儿净护洗衣液</t>
  </si>
  <si>
    <t>有一篇已于上月发布，剩下几篇主要是直推展示洗衣液特点，加入新生儿衣物清洗主题。</t>
  </si>
  <si>
    <t>667253e0000000000d00d093</t>
  </si>
  <si>
    <t>新儿玖玖🐯</t>
  </si>
  <si>
    <t>有娃家庭必备婴儿洗衣液🍃搞定所有污渍✌🏻</t>
  </si>
  <si>
    <t>6662a416000000000d00c8a6</t>
  </si>
  <si>
    <t>花花baby</t>
  </si>
  <si>
    <t>这玩意……直接到了按箱囤的程度 ！</t>
  </si>
  <si>
    <t>66599190000000000c019e87</t>
  </si>
  <si>
    <t>一颗糖吖</t>
  </si>
  <si>
    <t>新生儿衣服清洗步骤来啦！</t>
  </si>
  <si>
    <t>665a01bd000000000500518a</t>
  </si>
  <si>
    <t>十一似玖玖吖</t>
  </si>
  <si>
    <t>新手爸妈还不会给宝宝洗衣服的👀过来～</t>
  </si>
  <si>
    <t>667aadea000000001e01271e</t>
  </si>
  <si>
    <t>救命🆘请问吃辅食和水果后都这样吗？</t>
  </si>
  <si>
    <t>666d420a00000000060049d8</t>
  </si>
  <si>
    <t>哆啦A梦（哺乳期）</t>
  </si>
  <si>
    <t>婴儿洗衣液真的有必要囤吗❓新手妈妈必看❗</t>
  </si>
  <si>
    <t>666fd497000000000d00cb33</t>
  </si>
  <si>
    <t>登登妈沫_yyyoyo</t>
  </si>
  <si>
    <t>666d5b9e000000001d01a316</t>
  </si>
  <si>
    <t>琪琪麻麻</t>
  </si>
  <si>
    <t>九敏🔥洗出来了泡泡乐园[氛围感R]</t>
  </si>
  <si>
    <t>7月婴儿净护洗衣液</t>
  </si>
  <si>
    <t>6月储奶袋</t>
  </si>
  <si>
    <t>储奶袋</t>
  </si>
  <si>
    <t>储奶袋+奶粉袋</t>
  </si>
  <si>
    <t>共创笔记主要两种内容方向：好物直推和干货科普，其中储奶袋外出泡奶攻略和隐藏用法，解决了很多妈妈带娃外出不方便的难题，互动比较好。</t>
  </si>
  <si>
    <t>666f07e7000000000e033a47</t>
  </si>
  <si>
    <t>两只猫CC</t>
  </si>
  <si>
    <t>母乳储存的正确方式✅不浪费宝宝的每滴口粮</t>
  </si>
  <si>
    <t>66652b93000000000e0305ff</t>
  </si>
  <si>
    <t>Eternity_</t>
  </si>
  <si>
    <t>喝不完的母乳如何正确储存？新手爸妈必看！</t>
  </si>
  <si>
    <t>66639fc3000000001303c45a</t>
  </si>
  <si>
    <t>紫罗兰妈妈</t>
  </si>
  <si>
    <t>母乳的正确储存、解冻和加热！新手爸妈必看</t>
  </si>
  <si>
    <t>6665b20a000000000c01a953</t>
  </si>
  <si>
    <t>哆哆讲孕育</t>
  </si>
  <si>
    <t>🍼母乳正确储存与解冻🔥守护宝宝健康每一滴</t>
  </si>
  <si>
    <t>6665c3550000000006005d9d</t>
  </si>
  <si>
    <t>嗬呜昂～</t>
  </si>
  <si>
    <t>背奶的问题交给它~我还是很放心❤的~</t>
  </si>
  <si>
    <t>6664e6ac00000000060054b1</t>
  </si>
  <si>
    <t>鹿鹿妈育儿日记</t>
  </si>
  <si>
    <t>思路打开！家里的200个储奶袋这么用！</t>
  </si>
  <si>
    <t>666571be000000000e030a8b</t>
  </si>
  <si>
    <t>小晏姝</t>
  </si>
  <si>
    <r>
      <t>谁说储奶袋只能储存母乳的❗</t>
    </r>
    <r>
      <rPr>
        <sz val="11"/>
        <color rgb="FF000000"/>
        <rFont val="SimSun"/>
        <charset val="134"/>
      </rPr>
      <t>️</t>
    </r>
    <r>
      <rPr>
        <sz val="11"/>
        <color rgb="FF000000"/>
        <rFont val="Times New Roman"/>
        <charset val="134"/>
      </rPr>
      <t>⁉</t>
    </r>
    <r>
      <rPr>
        <sz val="11"/>
        <color rgb="FF000000"/>
        <rFont val="SimSun"/>
        <charset val="134"/>
      </rPr>
      <t>️</t>
    </r>
  </si>
  <si>
    <t>666310f0000000000c01bfe1</t>
  </si>
  <si>
    <t>奶总超会穿</t>
  </si>
  <si>
    <t>别找了！储奶袋才是永远不会闲置的母婴好物</t>
  </si>
  <si>
    <t>66641eee000000000f00f545</t>
  </si>
  <si>
    <t>舟妤小记</t>
  </si>
  <si>
    <t>对不起不该说你没用…除了储奶还可以这样</t>
  </si>
  <si>
    <t>6663bd8c000000001303d3db</t>
  </si>
  <si>
    <t>是可乐麻麻啊👶</t>
  </si>
  <si>
    <t>这玩意别扔！看完你会回来谢我的！！</t>
  </si>
  <si>
    <t>6663b7b7000000001500bacf</t>
  </si>
  <si>
    <t>哪哪（哺乳版）</t>
  </si>
  <si>
    <r>
      <t>月嫂留下的</t>
    </r>
    <r>
      <rPr>
        <sz val="11"/>
        <color rgb="FF000000"/>
        <rFont val="Times New Roman"/>
        <charset val="134"/>
      </rPr>
      <t>‼</t>
    </r>
    <r>
      <rPr>
        <sz val="11"/>
        <color rgb="FF000000"/>
        <rFont val="宋体"/>
        <charset val="134"/>
      </rPr>
      <t>母乳储存解冻小技巧✅一学就会</t>
    </r>
  </si>
  <si>
    <t>6662c677000000000d00e25a</t>
  </si>
  <si>
    <t>豆豆的育婴师麻麻</t>
  </si>
  <si>
    <r>
      <t>⚠</t>
    </r>
    <r>
      <rPr>
        <sz val="11"/>
        <color rgb="FF000000"/>
        <rFont val="SimSun"/>
        <charset val="134"/>
      </rPr>
      <t>️</t>
    </r>
    <r>
      <rPr>
        <sz val="11"/>
        <color rgb="FF000000"/>
        <rFont val="宋体"/>
        <charset val="134"/>
      </rPr>
      <t>变质奶滚开</t>
    </r>
    <r>
      <rPr>
        <sz val="11"/>
        <color rgb="FF000000"/>
        <rFont val="Times New Roman"/>
        <charset val="134"/>
      </rPr>
      <t>‼</t>
    </r>
    <r>
      <rPr>
        <sz val="11"/>
        <color rgb="FF000000"/>
        <rFont val="SimSun"/>
        <charset val="134"/>
      </rPr>
      <t>️</t>
    </r>
    <r>
      <rPr>
        <sz val="11"/>
        <color rgb="FF000000"/>
        <rFont val="宋体"/>
        <charset val="134"/>
      </rPr>
      <t>如何正确储奶看这篇就够了</t>
    </r>
  </si>
  <si>
    <t>66605ff40000000015011f30</t>
  </si>
  <si>
    <t>王小宅不宅</t>
  </si>
  <si>
    <t>原来储奶袋还可以这样用！</t>
  </si>
  <si>
    <t>665f3e14000000000c01a6d1</t>
  </si>
  <si>
    <t>榴莲干干（哺乳期）</t>
  </si>
  <si>
    <t>思路打开，家里200多个储奶袋还能这么用</t>
  </si>
  <si>
    <t>665d8f3b0000000005007a11</t>
  </si>
  <si>
    <t>是粥粥吖</t>
  </si>
  <si>
    <t>这玩意都别扔~解锁储奶袋n种用法！</t>
  </si>
  <si>
    <t>66178774000000001a011177</t>
  </si>
  <si>
    <t>暖崽崽的饲养员</t>
  </si>
  <si>
    <t>65c1d43c0000000007028f48</t>
  </si>
  <si>
    <t>@育婴师点点妈（育儿经验）</t>
  </si>
  <si>
    <t>65ced01c0000000007024b63</t>
  </si>
  <si>
    <t>橙子柠檬超可爱</t>
  </si>
  <si>
    <t>65dacd14000000000b01a6ad</t>
  </si>
  <si>
    <t>小橙子妈妈</t>
  </si>
  <si>
    <t>7月储奶袋</t>
  </si>
  <si>
    <t>共创招募9人</t>
  </si>
  <si>
    <t>6月十月结晶专业号</t>
  </si>
  <si>
    <t>6月专业号预计发布12篇笔记，品宣方面已知蓝铜胜肽护肤品要预热，上线找可联合其他品牌搞个抽奖活动，来增加新品曝光，另外配合策划发布端午节、618物料，其余延续每周一篇的干货和游戏笔记。</t>
  </si>
  <si>
    <t>阅读次数</t>
  </si>
  <si>
    <t>点赞次数</t>
  </si>
  <si>
    <t>收藏次数</t>
  </si>
  <si>
    <t>评论次数</t>
  </si>
  <si>
    <t>分享次数</t>
  </si>
  <si>
    <t>总互动量</t>
  </si>
  <si>
    <t>总粉丝量</t>
  </si>
  <si>
    <t>活动占比</t>
  </si>
  <si>
    <t>其他占比</t>
  </si>
  <si>
    <t>1月</t>
  </si>
  <si>
    <t>2月</t>
  </si>
  <si>
    <t>总阅读</t>
  </si>
  <si>
    <t>总发布量</t>
  </si>
  <si>
    <t>总互动</t>
  </si>
  <si>
    <t>收藏量</t>
  </si>
  <si>
    <t>评论量</t>
  </si>
  <si>
    <t>分享量</t>
  </si>
  <si>
    <t>活动类型</t>
  </si>
  <si>
    <t>*发布7篇笔记未达到预计量，原因：砍掉了几篇低互动、阅读的笔记内容，计划加入新的内容方向。
*新增成交8笔订单，总成交金额354.2元。</t>
  </si>
  <si>
    <t>专业号</t>
  </si>
  <si>
    <t>活动</t>
  </si>
  <si>
    <t>6677f298000000001f0070ed</t>
  </si>
  <si>
    <t>晒单赢奖励！全网呼叫十月结晶种草官</t>
  </si>
  <si>
    <t>2024-06-24 16:18:01</t>
  </si>
  <si>
    <t>发笔记抽</t>
  </si>
  <si>
    <t>游戏</t>
  </si>
  <si>
    <t>666ff46c00000000060040b2</t>
  </si>
  <si>
    <r>
      <rPr>
        <sz val="11"/>
        <color rgb="FF000000"/>
        <rFont val="宋体"/>
        <charset val="134"/>
      </rPr>
      <t>新品马上见</t>
    </r>
    <r>
      <rPr>
        <sz val="11"/>
        <color rgb="FF000000"/>
        <rFont val="SimSun"/>
        <charset val="134"/>
      </rPr>
      <t>⭐</t>
    </r>
    <r>
      <rPr>
        <sz val="11"/>
        <color rgb="FF000000"/>
        <rFont val="宋体"/>
        <charset val="134"/>
      </rPr>
      <t>猜猜TA是谁❓❓</t>
    </r>
  </si>
  <si>
    <t>2024-06-18 17:00:54</t>
  </si>
  <si>
    <t>博文转发</t>
  </si>
  <si>
    <t>666ff334000000000e030be7</t>
  </si>
  <si>
    <t>母乳妈妈快码住！！吸奶器正确使用方法✅</t>
  </si>
  <si>
    <t>2024-06-17 17:30:31</t>
  </si>
  <si>
    <t>666bfdbc000000000d00e774</t>
  </si>
  <si>
    <t>@所有爸爸们，有份礼物待查收❗</t>
  </si>
  <si>
    <t>2024-06-14 17:30:37</t>
  </si>
  <si>
    <t>手抽</t>
  </si>
  <si>
    <t>品宣</t>
  </si>
  <si>
    <t>666823f7000000000e0339c3</t>
  </si>
  <si>
    <t>乳腺科专家推荐吸奶器！！轻松喂养不焦虑</t>
  </si>
  <si>
    <t>2024-06-12 11:00:00</t>
  </si>
  <si>
    <t>6662b18600000000060063ed</t>
  </si>
  <si>
    <t>产品消消乐大挑战！粽于找到你了~</t>
  </si>
  <si>
    <t>2024-06-07 17:01:36</t>
  </si>
  <si>
    <t>干货</t>
  </si>
  <si>
    <t>66603488000000000d00c355</t>
  </si>
  <si>
    <t>一篇看懂十月结晶双边吸奶器p3 4.0升级点??</t>
  </si>
  <si>
    <t>2024-06-05 17:57:51</t>
  </si>
  <si>
    <t>7月十月结晶专业号</t>
  </si>
  <si>
    <t>着重弄好双蓝护肤套装宣传，包括：品宣、介绍视频、抽奖、干货等，计划加入贴贴礼活动。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</si>
</sst>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\-mm\-dd;@"/>
    <numFmt numFmtId="178" formatCode="0.00_ "/>
    <numFmt numFmtId="179" formatCode="[Red][&gt;0]&quot;↑&quot;00%;[Green][&lt;0]&quot;↓&quot;00%"/>
    <numFmt numFmtId="180" formatCode="0.00_);[Red]\(0.00\)"/>
    <numFmt numFmtId="181" formatCode="#,##0.00_ "/>
    <numFmt numFmtId="182" formatCode="yyyy/m/d;@"/>
    <numFmt numFmtId="183" formatCode="[Red][&gt;0.0]&quot;↑&quot;0.00%;[Green][&lt;0.0]&quot;↓&quot;0.00%"/>
  </numFmts>
  <fonts count="36">
    <font>
      <sz val="12"/>
      <color theme="1"/>
      <name val="等线"/>
      <charset val="134"/>
      <scheme val="minor"/>
    </font>
    <font>
      <sz val="11"/>
      <color rgb="FF000000"/>
      <name val="SimSun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b/>
      <sz val="11"/>
      <color rgb="FF000000"/>
      <name val="宋体"/>
      <charset val="134"/>
    </font>
    <font>
      <b/>
      <sz val="11"/>
      <color rgb="FFEA3324"/>
      <name val="宋体"/>
      <charset val="134"/>
    </font>
    <font>
      <sz val="11"/>
      <color rgb="FF7F7F7F"/>
      <name val="宋体"/>
      <charset val="134"/>
    </font>
    <font>
      <sz val="11"/>
      <color rgb="FFFE0300"/>
      <name val="宋体"/>
      <charset val="134"/>
    </font>
    <font>
      <sz val="11"/>
      <color rgb="FFEA3324"/>
      <name val="宋体"/>
      <charset val="134"/>
    </font>
    <font>
      <sz val="11"/>
      <name val="宋体"/>
      <charset val="134"/>
    </font>
    <font>
      <b/>
      <sz val="11"/>
      <color rgb="FF000000"/>
      <name val="SimSun"/>
      <charset val="134"/>
    </font>
    <font>
      <b/>
      <sz val="11"/>
      <color rgb="FFEA3324"/>
      <name val="SimSun"/>
      <charset val="134"/>
    </font>
    <font>
      <sz val="12"/>
      <color rgb="FF000000"/>
      <name val="等线"/>
      <charset val="134"/>
    </font>
    <font>
      <b/>
      <sz val="10"/>
      <color rgb="FF000000"/>
      <name val="等线"/>
      <charset val="134"/>
    </font>
    <font>
      <sz val="10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Times New Roman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BA02"/>
        <bgColor indexed="64"/>
      </patternFill>
    </fill>
    <fill>
      <patternFill patternType="solid">
        <fgColor rgb="FFFEFF0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C150"/>
        <bgColor indexed="64"/>
      </patternFill>
    </fill>
    <fill>
      <patternFill patternType="solid">
        <fgColor rgb="FF92D04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0" borderId="2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26" applyNumberFormat="0" applyAlignment="0" applyProtection="0">
      <alignment vertical="center"/>
    </xf>
    <xf numFmtId="0" fontId="25" fillId="12" borderId="27" applyNumberFormat="0" applyAlignment="0" applyProtection="0">
      <alignment vertical="center"/>
    </xf>
    <xf numFmtId="0" fontId="26" fillId="12" borderId="26" applyNumberFormat="0" applyAlignment="0" applyProtection="0">
      <alignment vertical="center"/>
    </xf>
    <xf numFmtId="0" fontId="27" fillId="13" borderId="28" applyNumberFormat="0" applyAlignment="0" applyProtection="0">
      <alignment vertical="center"/>
    </xf>
    <xf numFmtId="0" fontId="28" fillId="0" borderId="29" applyNumberFormat="0" applyFill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</cellStyleXfs>
  <cellXfs count="16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/>
    </xf>
    <xf numFmtId="176" fontId="4" fillId="0" borderId="1" xfId="0" applyNumberFormat="1" applyFont="1" applyFill="1" applyBorder="1" applyAlignment="1" applyProtection="1">
      <alignment horizontal="center" vertical="center"/>
    </xf>
    <xf numFmtId="176" fontId="4" fillId="0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/>
    </xf>
    <xf numFmtId="0" fontId="2" fillId="4" borderId="1" xfId="0" applyFont="1" applyFill="1" applyBorder="1" applyAlignment="1" applyProtection="1">
      <alignment horizontal="center" vertical="center"/>
    </xf>
    <xf numFmtId="0" fontId="2" fillId="4" borderId="1" xfId="0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 applyProtection="1">
      <alignment horizontal="center" vertical="center" wrapText="1"/>
    </xf>
    <xf numFmtId="177" fontId="2" fillId="0" borderId="1" xfId="0" applyNumberFormat="1" applyFont="1" applyFill="1" applyBorder="1" applyAlignment="1" applyProtection="1">
      <alignment horizontal="center" vertical="center" wrapText="1"/>
    </xf>
    <xf numFmtId="0" fontId="2" fillId="0" borderId="5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</xf>
    <xf numFmtId="0" fontId="2" fillId="5" borderId="1" xfId="0" applyFont="1" applyFill="1" applyBorder="1" applyAlignment="1" applyProtection="1">
      <alignment horizontal="center" vertical="center" wrapText="1"/>
    </xf>
    <xf numFmtId="0" fontId="4" fillId="5" borderId="1" xfId="0" applyFont="1" applyFill="1" applyBorder="1" applyAlignment="1" applyProtection="1">
      <alignment horizontal="center" vertical="center" wrapText="1"/>
    </xf>
    <xf numFmtId="0" fontId="2" fillId="5" borderId="1" xfId="0" applyFont="1" applyFill="1" applyBorder="1" applyAlignment="1" applyProtection="1">
      <alignment horizontal="center" vertical="center"/>
    </xf>
    <xf numFmtId="14" fontId="2" fillId="5" borderId="1" xfId="0" applyNumberFormat="1" applyFont="1" applyFill="1" applyBorder="1" applyAlignment="1" applyProtection="1">
      <alignment horizontal="center" vertical="center" wrapText="1"/>
    </xf>
    <xf numFmtId="0" fontId="2" fillId="0" borderId="6" xfId="0" applyFont="1" applyFill="1" applyBorder="1" applyAlignment="1" applyProtection="1">
      <alignment horizontal="center" vertical="center" wrapText="1"/>
    </xf>
    <xf numFmtId="0" fontId="4" fillId="5" borderId="1" xfId="0" applyFont="1" applyFill="1" applyBorder="1" applyAlignment="1" applyProtection="1">
      <alignment horizontal="center" vertical="center"/>
    </xf>
    <xf numFmtId="0" fontId="4" fillId="4" borderId="1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0" borderId="7" xfId="0" applyFont="1" applyFill="1" applyBorder="1" applyAlignment="1" applyProtection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178" fontId="1" fillId="0" borderId="0" xfId="0" applyNumberFormat="1" applyFont="1" applyAlignment="1">
      <alignment horizontal="center" vertical="center" wrapText="1"/>
    </xf>
    <xf numFmtId="176" fontId="4" fillId="0" borderId="3" xfId="0" applyNumberFormat="1" applyFont="1" applyFill="1" applyBorder="1" applyAlignment="1" applyProtection="1">
      <alignment horizontal="center" vertical="center" wrapText="1"/>
    </xf>
    <xf numFmtId="176" fontId="5" fillId="0" borderId="1" xfId="0" applyNumberFormat="1" applyFont="1" applyFill="1" applyBorder="1" applyAlignment="1" applyProtection="1">
      <alignment horizontal="center" vertical="center" wrapText="1"/>
    </xf>
    <xf numFmtId="176" fontId="2" fillId="0" borderId="6" xfId="0" applyNumberFormat="1" applyFont="1" applyFill="1" applyBorder="1" applyAlignment="1" applyProtection="1">
      <alignment horizontal="center" vertical="center" wrapText="1"/>
    </xf>
    <xf numFmtId="0" fontId="6" fillId="0" borderId="6" xfId="0" applyFont="1" applyFill="1" applyBorder="1" applyAlignment="1" applyProtection="1">
      <alignment horizontal="center" vertical="center" wrapText="1"/>
    </xf>
    <xf numFmtId="176" fontId="2" fillId="0" borderId="1" xfId="0" applyNumberFormat="1" applyFont="1" applyFill="1" applyBorder="1" applyAlignment="1" applyProtection="1">
      <alignment horizontal="center" vertical="center" wrapText="1"/>
    </xf>
    <xf numFmtId="179" fontId="2" fillId="0" borderId="1" xfId="0" applyNumberFormat="1" applyFont="1" applyFill="1" applyBorder="1" applyAlignment="1" applyProtection="1">
      <alignment horizontal="center" vertical="center" wrapText="1"/>
    </xf>
    <xf numFmtId="0" fontId="4" fillId="3" borderId="4" xfId="0" applyFont="1" applyFill="1" applyBorder="1" applyAlignment="1" applyProtection="1">
      <alignment horizontal="center" vertical="center" wrapText="1"/>
    </xf>
    <xf numFmtId="0" fontId="4" fillId="6" borderId="4" xfId="0" applyFont="1" applyFill="1" applyBorder="1" applyAlignment="1" applyProtection="1">
      <alignment horizontal="center" vertical="center" wrapText="1"/>
    </xf>
    <xf numFmtId="10" fontId="2" fillId="0" borderId="1" xfId="0" applyNumberFormat="1" applyFont="1" applyFill="1" applyBorder="1" applyAlignment="1" applyProtection="1">
      <alignment horizontal="center" vertical="center" wrapText="1"/>
    </xf>
    <xf numFmtId="178" fontId="2" fillId="0" borderId="1" xfId="0" applyNumberFormat="1" applyFont="1" applyFill="1" applyBorder="1" applyAlignment="1" applyProtection="1">
      <alignment horizontal="center" vertical="center" wrapText="1"/>
    </xf>
    <xf numFmtId="180" fontId="2" fillId="0" borderId="1" xfId="0" applyNumberFormat="1" applyFont="1" applyFill="1" applyBorder="1" applyAlignment="1" applyProtection="1">
      <alignment horizontal="center" vertical="center" wrapText="1"/>
    </xf>
    <xf numFmtId="10" fontId="2" fillId="0" borderId="6" xfId="0" applyNumberFormat="1" applyFont="1" applyFill="1" applyBorder="1" applyAlignment="1" applyProtection="1">
      <alignment horizontal="center" vertical="center" wrapText="1"/>
    </xf>
    <xf numFmtId="180" fontId="2" fillId="0" borderId="6" xfId="0" applyNumberFormat="1" applyFont="1" applyFill="1" applyBorder="1" applyAlignment="1" applyProtection="1">
      <alignment horizontal="center" vertical="center" wrapText="1"/>
    </xf>
    <xf numFmtId="0" fontId="4" fillId="0" borderId="6" xfId="0" applyFont="1" applyFill="1" applyBorder="1" applyAlignment="1" applyProtection="1">
      <alignment horizontal="center" vertical="center" wrapText="1"/>
    </xf>
    <xf numFmtId="176" fontId="4" fillId="0" borderId="6" xfId="0" applyNumberFormat="1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 wrapText="1"/>
    </xf>
    <xf numFmtId="9" fontId="8" fillId="0" borderId="1" xfId="0" applyNumberFormat="1" applyFont="1" applyFill="1" applyBorder="1" applyAlignment="1" applyProtection="1">
      <alignment horizontal="center" vertical="center" wrapText="1"/>
    </xf>
    <xf numFmtId="10" fontId="2" fillId="2" borderId="1" xfId="0" applyNumberFormat="1" applyFont="1" applyFill="1" applyBorder="1" applyAlignment="1" applyProtection="1">
      <alignment horizontal="center" vertical="center"/>
    </xf>
    <xf numFmtId="178" fontId="2" fillId="2" borderId="1" xfId="0" applyNumberFormat="1" applyFont="1" applyFill="1" applyBorder="1" applyAlignment="1" applyProtection="1">
      <alignment horizontal="center" vertical="center"/>
    </xf>
    <xf numFmtId="10" fontId="4" fillId="5" borderId="1" xfId="0" applyNumberFormat="1" applyFont="1" applyFill="1" applyBorder="1" applyAlignment="1" applyProtection="1">
      <alignment horizontal="center" vertical="center" wrapText="1"/>
    </xf>
    <xf numFmtId="178" fontId="4" fillId="5" borderId="1" xfId="0" applyNumberFormat="1" applyFont="1" applyFill="1" applyBorder="1" applyAlignment="1" applyProtection="1">
      <alignment horizontal="center" vertical="center" wrapText="1"/>
    </xf>
    <xf numFmtId="180" fontId="2" fillId="7" borderId="6" xfId="0" applyNumberFormat="1" applyFont="1" applyFill="1" applyBorder="1" applyAlignment="1" applyProtection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0" fontId="2" fillId="2" borderId="7" xfId="0" applyFont="1" applyFill="1" applyBorder="1" applyAlignment="1" applyProtection="1">
      <alignment horizontal="center" vertical="center" wrapText="1"/>
    </xf>
    <xf numFmtId="0" fontId="4" fillId="8" borderId="4" xfId="0" applyFont="1" applyFill="1" applyBorder="1" applyAlignment="1" applyProtection="1">
      <alignment horizontal="center" vertical="center" wrapText="1"/>
    </xf>
    <xf numFmtId="0" fontId="2" fillId="9" borderId="1" xfId="0" applyFont="1" applyFill="1" applyBorder="1" applyAlignment="1" applyProtection="1">
      <alignment horizontal="center" vertical="center" wrapText="1"/>
    </xf>
    <xf numFmtId="9" fontId="2" fillId="0" borderId="1" xfId="0" applyNumberFormat="1" applyFont="1" applyFill="1" applyBorder="1" applyAlignment="1" applyProtection="1">
      <alignment horizontal="center" vertical="center" wrapText="1"/>
    </xf>
    <xf numFmtId="10" fontId="2" fillId="2" borderId="7" xfId="0" applyNumberFormat="1" applyFont="1" applyFill="1" applyBorder="1" applyAlignment="1" applyProtection="1">
      <alignment horizontal="center" vertical="center" wrapText="1"/>
    </xf>
    <xf numFmtId="1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8" xfId="0" applyFont="1" applyFill="1" applyBorder="1" applyAlignment="1" applyProtection="1">
      <alignment horizontal="center" vertical="center" wrapText="1"/>
    </xf>
    <xf numFmtId="176" fontId="2" fillId="7" borderId="6" xfId="0" applyNumberFormat="1" applyFont="1" applyFill="1" applyBorder="1" applyAlignment="1" applyProtection="1">
      <alignment horizontal="center" vertical="center" wrapText="1"/>
    </xf>
    <xf numFmtId="0" fontId="2" fillId="7" borderId="1" xfId="0" applyFont="1" applyFill="1" applyBorder="1" applyAlignment="1" applyProtection="1">
      <alignment horizontal="center" vertical="center"/>
    </xf>
    <xf numFmtId="181" fontId="2" fillId="0" borderId="1" xfId="0" applyNumberFormat="1" applyFont="1" applyFill="1" applyBorder="1" applyAlignment="1" applyProtection="1">
      <alignment horizontal="center" vertical="center" wrapText="1"/>
    </xf>
    <xf numFmtId="9" fontId="2" fillId="0" borderId="6" xfId="0" applyNumberFormat="1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center" vertical="center" wrapText="1"/>
    </xf>
    <xf numFmtId="182" fontId="2" fillId="0" borderId="1" xfId="0" applyNumberFormat="1" applyFont="1" applyFill="1" applyBorder="1" applyAlignment="1" applyProtection="1">
      <alignment horizontal="center" vertical="center" wrapText="1"/>
    </xf>
    <xf numFmtId="0" fontId="4" fillId="5" borderId="6" xfId="0" applyFont="1" applyFill="1" applyBorder="1" applyAlignment="1" applyProtection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176" fontId="4" fillId="0" borderId="0" xfId="0" applyNumberFormat="1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 wrapText="1"/>
    </xf>
    <xf numFmtId="0" fontId="2" fillId="0" borderId="6" xfId="0" applyFont="1" applyFill="1" applyBorder="1" applyAlignment="1" applyProtection="1">
      <alignment horizontal="center" vertical="center"/>
    </xf>
    <xf numFmtId="10" fontId="2" fillId="0" borderId="1" xfId="0" applyNumberFormat="1" applyFont="1" applyFill="1" applyBorder="1" applyAlignment="1" applyProtection="1">
      <alignment horizontal="center" vertical="center"/>
    </xf>
    <xf numFmtId="178" fontId="2" fillId="0" borderId="1" xfId="0" applyNumberFormat="1" applyFont="1" applyFill="1" applyBorder="1" applyAlignment="1" applyProtection="1">
      <alignment horizontal="center" vertical="center"/>
    </xf>
    <xf numFmtId="176" fontId="5" fillId="0" borderId="0" xfId="0" applyNumberFormat="1" applyFont="1" applyFill="1" applyAlignment="1">
      <alignment horizontal="center" vertical="center" wrapText="1"/>
    </xf>
    <xf numFmtId="4" fontId="2" fillId="0" borderId="1" xfId="0" applyNumberFormat="1" applyFont="1" applyFill="1" applyBorder="1" applyAlignment="1" applyProtection="1">
      <alignment horizontal="center" vertical="center"/>
    </xf>
    <xf numFmtId="0" fontId="2" fillId="9" borderId="4" xfId="0" applyFont="1" applyFill="1" applyBorder="1" applyAlignment="1" applyProtection="1">
      <alignment horizontal="center" vertical="center" wrapText="1"/>
    </xf>
    <xf numFmtId="9" fontId="2" fillId="0" borderId="3" xfId="0" applyNumberFormat="1" applyFont="1" applyFill="1" applyBorder="1" applyAlignment="1" applyProtection="1">
      <alignment horizontal="center" vertical="center" wrapText="1"/>
    </xf>
    <xf numFmtId="9" fontId="2" fillId="0" borderId="9" xfId="0" applyNumberFormat="1" applyFont="1" applyFill="1" applyBorder="1" applyAlignment="1" applyProtection="1">
      <alignment horizontal="center" vertical="center" wrapText="1"/>
    </xf>
    <xf numFmtId="10" fontId="2" fillId="2" borderId="6" xfId="0" applyNumberFormat="1" applyFont="1" applyFill="1" applyBorder="1" applyAlignment="1" applyProtection="1">
      <alignment horizontal="center" vertical="center" wrapText="1"/>
    </xf>
    <xf numFmtId="0" fontId="2" fillId="2" borderId="6" xfId="0" applyFont="1" applyFill="1" applyBorder="1" applyAlignment="1" applyProtection="1">
      <alignment horizontal="center" vertical="center" wrapText="1"/>
    </xf>
    <xf numFmtId="2" fontId="4" fillId="5" borderId="1" xfId="0" applyNumberFormat="1" applyFont="1" applyFill="1" applyBorder="1" applyAlignment="1" applyProtection="1">
      <alignment horizontal="center" vertical="center" wrapText="1"/>
    </xf>
    <xf numFmtId="0" fontId="4" fillId="6" borderId="1" xfId="0" applyFont="1" applyFill="1" applyBorder="1" applyAlignment="1" applyProtection="1">
      <alignment horizontal="center" vertical="center" wrapText="1"/>
    </xf>
    <xf numFmtId="0" fontId="4" fillId="8" borderId="1" xfId="0" applyFont="1" applyFill="1" applyBorder="1" applyAlignment="1" applyProtection="1">
      <alignment horizontal="center" vertical="center" wrapText="1"/>
    </xf>
    <xf numFmtId="10" fontId="6" fillId="0" borderId="1" xfId="0" applyNumberFormat="1" applyFont="1" applyFill="1" applyBorder="1" applyAlignment="1" applyProtection="1">
      <alignment horizontal="center" vertical="center" wrapText="1"/>
    </xf>
    <xf numFmtId="0" fontId="4" fillId="4" borderId="6" xfId="0" applyFont="1" applyFill="1" applyBorder="1" applyAlignment="1" applyProtection="1">
      <alignment horizontal="center" vertical="center" wrapText="1"/>
    </xf>
    <xf numFmtId="0" fontId="4" fillId="4" borderId="6" xfId="0" applyFont="1" applyFill="1" applyBorder="1" applyAlignment="1" applyProtection="1">
      <alignment horizontal="center" vertical="center"/>
    </xf>
    <xf numFmtId="0" fontId="4" fillId="4" borderId="4" xfId="0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 applyProtection="1">
      <alignment horizontal="center" vertical="center"/>
    </xf>
    <xf numFmtId="0" fontId="2" fillId="0" borderId="10" xfId="0" applyFont="1" applyFill="1" applyBorder="1" applyAlignment="1" applyProtection="1">
      <alignment horizontal="center" vertical="center"/>
    </xf>
    <xf numFmtId="0" fontId="2" fillId="0" borderId="11" xfId="0" applyFont="1" applyFill="1" applyBorder="1" applyAlignment="1" applyProtection="1">
      <alignment horizontal="center" vertical="center"/>
    </xf>
    <xf numFmtId="0" fontId="2" fillId="0" borderId="12" xfId="0" applyFont="1" applyFill="1" applyBorder="1" applyAlignment="1" applyProtection="1">
      <alignment horizontal="center" vertical="center"/>
    </xf>
    <xf numFmtId="0" fontId="2" fillId="0" borderId="13" xfId="0" applyFont="1" applyFill="1" applyBorder="1" applyAlignment="1" applyProtection="1">
      <alignment horizontal="center" vertical="center"/>
    </xf>
    <xf numFmtId="0" fontId="9" fillId="0" borderId="5" xfId="0" applyFont="1" applyFill="1" applyBorder="1" applyAlignment="1" applyProtection="1">
      <alignment horizontal="center" vertical="center"/>
    </xf>
    <xf numFmtId="176" fontId="5" fillId="0" borderId="6" xfId="0" applyNumberFormat="1" applyFont="1" applyFill="1" applyBorder="1" applyAlignment="1" applyProtection="1">
      <alignment horizontal="center" vertical="center" wrapText="1"/>
    </xf>
    <xf numFmtId="176" fontId="4" fillId="0" borderId="4" xfId="0" applyNumberFormat="1" applyFont="1" applyFill="1" applyBorder="1" applyAlignment="1" applyProtection="1">
      <alignment horizontal="center" vertical="center" wrapText="1"/>
    </xf>
    <xf numFmtId="176" fontId="5" fillId="0" borderId="4" xfId="0" applyNumberFormat="1" applyFont="1" applyFill="1" applyBorder="1" applyAlignment="1" applyProtection="1">
      <alignment horizontal="center" vertical="center" wrapText="1"/>
    </xf>
    <xf numFmtId="4" fontId="2" fillId="0" borderId="1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</xf>
    <xf numFmtId="176" fontId="2" fillId="7" borderId="1" xfId="0" applyNumberFormat="1" applyFont="1" applyFill="1" applyBorder="1" applyAlignment="1" applyProtection="1">
      <alignment horizontal="center" vertical="center" wrapText="1"/>
    </xf>
    <xf numFmtId="180" fontId="2" fillId="7" borderId="1" xfId="0" applyNumberFormat="1" applyFont="1" applyFill="1" applyBorder="1" applyAlignment="1" applyProtection="1">
      <alignment horizontal="center" vertical="center" wrapText="1"/>
    </xf>
    <xf numFmtId="0" fontId="4" fillId="0" borderId="14" xfId="0" applyFont="1" applyFill="1" applyBorder="1" applyAlignment="1" applyProtection="1">
      <alignment horizontal="center" vertical="center" wrapText="1"/>
    </xf>
    <xf numFmtId="0" fontId="4" fillId="0" borderId="15" xfId="0" applyFont="1" applyFill="1" applyBorder="1" applyAlignment="1" applyProtection="1">
      <alignment horizontal="center" vertical="center" wrapText="1"/>
    </xf>
    <xf numFmtId="176" fontId="4" fillId="0" borderId="15" xfId="0" applyNumberFormat="1" applyFont="1" applyFill="1" applyBorder="1" applyAlignment="1" applyProtection="1">
      <alignment horizontal="center" vertical="center"/>
    </xf>
    <xf numFmtId="176" fontId="4" fillId="0" borderId="15" xfId="0" applyNumberFormat="1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2" fillId="0" borderId="16" xfId="0" applyFont="1" applyFill="1" applyBorder="1" applyAlignment="1" applyProtection="1">
      <alignment horizontal="center" vertical="center" wrapText="1"/>
    </xf>
    <xf numFmtId="0" fontId="2" fillId="0" borderId="17" xfId="0" applyFont="1" applyFill="1" applyBorder="1" applyAlignment="1" applyProtection="1">
      <alignment horizontal="center" vertical="center" wrapText="1"/>
    </xf>
    <xf numFmtId="176" fontId="4" fillId="0" borderId="18" xfId="0" applyNumberFormat="1" applyFont="1" applyFill="1" applyBorder="1" applyAlignment="1" applyProtection="1">
      <alignment horizontal="center" vertical="center" wrapText="1"/>
    </xf>
    <xf numFmtId="0" fontId="2" fillId="0" borderId="8" xfId="0" applyFont="1" applyFill="1" applyBorder="1" applyAlignment="1" applyProtection="1">
      <alignment horizontal="center" vertical="center" wrapText="1"/>
    </xf>
    <xf numFmtId="0" fontId="2" fillId="9" borderId="8" xfId="0" applyFont="1" applyFill="1" applyBorder="1" applyAlignment="1" applyProtection="1">
      <alignment horizontal="center" vertical="center" wrapText="1"/>
    </xf>
    <xf numFmtId="0" fontId="2" fillId="0" borderId="5" xfId="0" applyFont="1" applyFill="1" applyBorder="1" applyAlignment="1" applyProtection="1">
      <alignment horizontal="center" vertical="center"/>
    </xf>
    <xf numFmtId="177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19" xfId="0" applyFont="1" applyFill="1" applyBorder="1" applyAlignment="1" applyProtection="1">
      <alignment horizontal="center" vertical="center" wrapText="1"/>
    </xf>
    <xf numFmtId="0" fontId="2" fillId="0" borderId="20" xfId="0" applyFont="1" applyFill="1" applyBorder="1" applyAlignment="1" applyProtection="1">
      <alignment horizontal="center" vertical="center" wrapText="1"/>
    </xf>
    <xf numFmtId="0" fontId="9" fillId="0" borderId="10" xfId="0" applyFont="1" applyFill="1" applyBorder="1" applyAlignment="1" applyProtection="1">
      <alignment horizontal="center" vertical="center"/>
    </xf>
    <xf numFmtId="0" fontId="9" fillId="0" borderId="11" xfId="0" applyFont="1" applyFill="1" applyBorder="1" applyAlignment="1" applyProtection="1">
      <alignment horizontal="center" vertical="center"/>
    </xf>
    <xf numFmtId="0" fontId="9" fillId="0" borderId="21" xfId="0" applyFont="1" applyFill="1" applyBorder="1" applyAlignment="1" applyProtection="1">
      <alignment horizontal="center" vertical="center"/>
    </xf>
    <xf numFmtId="0" fontId="9" fillId="0" borderId="12" xfId="0" applyFont="1" applyFill="1" applyBorder="1" applyAlignment="1" applyProtection="1">
      <alignment horizontal="center" vertical="center"/>
    </xf>
    <xf numFmtId="0" fontId="9" fillId="0" borderId="13" xfId="0" applyFont="1" applyFill="1" applyBorder="1" applyAlignment="1" applyProtection="1">
      <alignment horizontal="center" vertical="center"/>
    </xf>
    <xf numFmtId="0" fontId="10" fillId="0" borderId="0" xfId="0" applyFont="1" applyAlignment="1">
      <alignment horizontal="center" vertical="center" wrapText="1"/>
    </xf>
    <xf numFmtId="176" fontId="10" fillId="0" borderId="0" xfId="0" applyNumberFormat="1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 wrapText="1"/>
    </xf>
    <xf numFmtId="0" fontId="4" fillId="8" borderId="1" xfId="0" applyFont="1" applyFill="1" applyBorder="1" applyAlignment="1" applyProtection="1">
      <alignment horizontal="center" vertical="center"/>
    </xf>
    <xf numFmtId="176" fontId="2" fillId="0" borderId="4" xfId="0" applyNumberFormat="1" applyFont="1" applyFill="1" applyBorder="1" applyAlignment="1" applyProtection="1">
      <alignment horizontal="center" vertical="center" wrapText="1"/>
    </xf>
    <xf numFmtId="0" fontId="9" fillId="0" borderId="6" xfId="0" applyFont="1" applyFill="1" applyBorder="1" applyAlignment="1" applyProtection="1">
      <alignment horizontal="center" vertical="center"/>
    </xf>
    <xf numFmtId="176" fontId="11" fillId="0" borderId="0" xfId="0" applyNumberFormat="1" applyFont="1" applyAlignment="1">
      <alignment horizontal="center" vertical="center" wrapText="1"/>
    </xf>
    <xf numFmtId="0" fontId="9" fillId="0" borderId="1" xfId="0" applyFont="1" applyFill="1" applyBorder="1" applyAlignment="1" applyProtection="1">
      <alignment horizontal="center" vertical="center" wrapText="1"/>
    </xf>
    <xf numFmtId="0" fontId="2" fillId="2" borderId="22" xfId="0" applyFont="1" applyFill="1" applyBorder="1" applyAlignment="1" applyProtection="1">
      <alignment horizontal="center" vertical="center" wrapText="1"/>
    </xf>
    <xf numFmtId="0" fontId="9" fillId="0" borderId="9" xfId="0" applyFont="1" applyFill="1" applyBorder="1" applyAlignment="1" applyProtection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179" fontId="2" fillId="0" borderId="0" xfId="0" applyNumberFormat="1" applyFont="1" applyFill="1" applyAlignment="1">
      <alignment horizontal="center" vertical="center" wrapText="1"/>
    </xf>
    <xf numFmtId="9" fontId="2" fillId="2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Font="1">
      <alignment vertical="center"/>
    </xf>
    <xf numFmtId="0" fontId="7" fillId="0" borderId="4" xfId="0" applyFont="1" applyFill="1" applyBorder="1" applyAlignment="1" applyProtection="1">
      <alignment horizontal="center" vertical="center" wrapText="1"/>
    </xf>
    <xf numFmtId="0" fontId="4" fillId="5" borderId="4" xfId="0" applyFont="1" applyFill="1" applyBorder="1" applyAlignment="1" applyProtection="1">
      <alignment horizontal="center" vertical="center"/>
    </xf>
    <xf numFmtId="0" fontId="4" fillId="5" borderId="4" xfId="0" applyFont="1" applyFill="1" applyBorder="1" applyAlignment="1" applyProtection="1">
      <alignment horizontal="center" vertical="center" wrapText="1"/>
    </xf>
    <xf numFmtId="0" fontId="4" fillId="4" borderId="3" xfId="0" applyFont="1" applyFill="1" applyBorder="1" applyAlignment="1" applyProtection="1">
      <alignment horizontal="center" vertical="center" wrapText="1"/>
    </xf>
    <xf numFmtId="0" fontId="4" fillId="0" borderId="4" xfId="0" applyFont="1" applyFill="1" applyBorder="1" applyAlignment="1" applyProtection="1">
      <alignment horizontal="center" vertical="center" wrapText="1"/>
    </xf>
    <xf numFmtId="176" fontId="4" fillId="0" borderId="7" xfId="0" applyNumberFormat="1" applyFont="1" applyFill="1" applyBorder="1" applyAlignment="1" applyProtection="1">
      <alignment horizontal="center" vertical="center" wrapText="1"/>
    </xf>
    <xf numFmtId="183" fontId="2" fillId="0" borderId="1" xfId="0" applyNumberFormat="1" applyFont="1" applyFill="1" applyBorder="1" applyAlignment="1" applyProtection="1">
      <alignment horizontal="center" vertical="center" wrapText="1"/>
    </xf>
    <xf numFmtId="10" fontId="2" fillId="0" borderId="0" xfId="0" applyNumberFormat="1" applyFont="1" applyFill="1" applyAlignment="1">
      <alignment horizontal="center" vertical="center" wrapText="1"/>
    </xf>
    <xf numFmtId="0" fontId="2" fillId="2" borderId="11" xfId="0" applyFont="1" applyFill="1" applyBorder="1" applyAlignment="1" applyProtection="1">
      <alignment horizontal="center" vertical="center" wrapText="1"/>
    </xf>
    <xf numFmtId="176" fontId="5" fillId="0" borderId="3" xfId="0" applyNumberFormat="1" applyFont="1" applyFill="1" applyBorder="1" applyAlignment="1" applyProtection="1">
      <alignment horizontal="center" vertical="center" wrapText="1"/>
    </xf>
    <xf numFmtId="0" fontId="6" fillId="0" borderId="3" xfId="0" applyFont="1" applyFill="1" applyBorder="1" applyAlignment="1" applyProtection="1">
      <alignment horizontal="center" vertical="center" wrapText="1"/>
    </xf>
    <xf numFmtId="179" fontId="2" fillId="0" borderId="3" xfId="0" applyNumberFormat="1" applyFont="1" applyFill="1" applyBorder="1" applyAlignment="1" applyProtection="1">
      <alignment horizontal="center" vertical="center" wrapText="1"/>
    </xf>
    <xf numFmtId="0" fontId="12" fillId="0" borderId="0" xfId="0" applyFont="1">
      <alignment vertical="center"/>
    </xf>
    <xf numFmtId="0" fontId="13" fillId="0" borderId="4" xfId="0" applyFont="1" applyBorder="1" applyAlignment="1" applyProtection="1">
      <alignment horizontal="center" vertical="center"/>
    </xf>
    <xf numFmtId="0" fontId="14" fillId="0" borderId="1" xfId="0" applyFont="1" applyBorder="1" applyAlignment="1" applyProtection="1">
      <alignment horizontal="center" vertical="center"/>
    </xf>
    <xf numFmtId="9" fontId="14" fillId="0" borderId="1" xfId="0" applyNumberFormat="1" applyFont="1" applyBorder="1" applyAlignment="1" applyProtection="1">
      <alignment horizontal="center" vertical="center"/>
    </xf>
    <xf numFmtId="9" fontId="14" fillId="0" borderId="1" xfId="0" applyNumberFormat="1" applyFont="1" applyBorder="1" applyAlignment="1" applyProtection="1">
      <alignment horizontal="left" vertical="center" wrapText="1"/>
    </xf>
    <xf numFmtId="9" fontId="14" fillId="0" borderId="1" xfId="0" applyNumberFormat="1" applyFont="1" applyBorder="1" applyAlignment="1" applyProtection="1">
      <alignment horizontal="left" vertical="center"/>
    </xf>
    <xf numFmtId="0" fontId="14" fillId="0" borderId="3" xfId="0" applyFont="1" applyBorder="1" applyAlignment="1" applyProtection="1">
      <alignment horizontal="center" vertical="center"/>
    </xf>
    <xf numFmtId="0" fontId="14" fillId="0" borderId="7" xfId="0" applyFont="1" applyBorder="1" applyProtection="1">
      <alignment vertical="center"/>
    </xf>
    <xf numFmtId="9" fontId="14" fillId="0" borderId="1" xfId="0" applyNumberFormat="1" applyFont="1" applyBorder="1" applyProtection="1">
      <alignment vertical="center"/>
    </xf>
    <xf numFmtId="0" fontId="14" fillId="0" borderId="1" xfId="0" applyFont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6&#26376;&#20869;&#23481;&#24037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6月小红书达人"/>
      <sheetName val="6月小红书专业号&amp;带货号"/>
      <sheetName val="6月品牌保护"/>
      <sheetName val="6月竞品情况"/>
      <sheetName val="6月知乎"/>
      <sheetName val="写小结"/>
      <sheetName val="算绩效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6"/>
  <sheetViews>
    <sheetView workbookViewId="0">
      <selection activeCell="A1" sqref="A1"/>
    </sheetView>
  </sheetViews>
  <sheetFormatPr defaultColWidth="10" defaultRowHeight="16.5" customHeight="1" outlineLevelRow="5" outlineLevelCol="3"/>
  <cols>
    <col min="4" max="4" width="46.6666666666667" style="156" customWidth="1"/>
  </cols>
  <sheetData>
    <row r="1" customHeight="1" spans="1:4">
      <c r="A1" s="157" t="s">
        <v>0</v>
      </c>
      <c r="B1" s="157" t="s">
        <v>1</v>
      </c>
      <c r="C1" s="157" t="s">
        <v>2</v>
      </c>
      <c r="D1" s="157" t="s">
        <v>3</v>
      </c>
    </row>
    <row r="2" ht="27.75" customHeight="1" spans="1:4">
      <c r="A2" s="158" t="s">
        <v>4</v>
      </c>
      <c r="B2" s="159">
        <v>0.3</v>
      </c>
      <c r="C2" s="159"/>
      <c r="D2" s="160" t="s">
        <v>5</v>
      </c>
    </row>
    <row r="3" customHeight="1" spans="1:4">
      <c r="A3" s="158" t="s">
        <v>6</v>
      </c>
      <c r="B3" s="159">
        <v>0.4</v>
      </c>
      <c r="C3" s="159"/>
      <c r="D3" s="161" t="s">
        <v>7</v>
      </c>
    </row>
    <row r="4" customHeight="1" spans="1:4">
      <c r="A4" s="158" t="s">
        <v>8</v>
      </c>
      <c r="B4" s="159">
        <v>0.1</v>
      </c>
      <c r="C4" s="159"/>
      <c r="D4" s="161" t="s">
        <v>9</v>
      </c>
    </row>
    <row r="5" customHeight="1" spans="1:4">
      <c r="A5" s="158" t="s">
        <v>10</v>
      </c>
      <c r="B5" s="159">
        <v>0.2</v>
      </c>
      <c r="C5" s="159"/>
      <c r="D5" s="161" t="s">
        <v>11</v>
      </c>
    </row>
    <row r="6" ht="41.25" customHeight="1" spans="1:4">
      <c r="A6" s="162" t="s">
        <v>12</v>
      </c>
      <c r="B6" s="163"/>
      <c r="C6" s="164"/>
      <c r="D6" s="165" t="s">
        <v>13</v>
      </c>
    </row>
  </sheetData>
  <mergeCells count="1">
    <mergeCell ref="A6:B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338"/>
  <sheetViews>
    <sheetView tabSelected="1" topLeftCell="A304" workbookViewId="0">
      <selection activeCell="A312" sqref="$A312:$XFD338"/>
    </sheetView>
  </sheetViews>
  <sheetFormatPr defaultColWidth="9" defaultRowHeight="13.5" customHeight="1"/>
  <cols>
    <col min="1" max="1" width="3.33333333333333" style="1" customWidth="1"/>
    <col min="2" max="5" width="9" style="1" customWidth="1"/>
    <col min="6" max="7" width="9" style="7" customWidth="1"/>
    <col min="8" max="8" width="11.1666666666667" style="1" customWidth="1"/>
    <col min="9" max="24" width="9" style="1" customWidth="1"/>
    <col min="25" max="40" width="9" style="8" customWidth="1"/>
  </cols>
  <sheetData>
    <row r="1" s="1" customFormat="1" customHeight="1" spans="6:40">
      <c r="F1" s="7"/>
      <c r="G1" s="7"/>
      <c r="J1" s="6"/>
      <c r="K1" s="6"/>
      <c r="L1" s="35"/>
      <c r="M1" s="35"/>
      <c r="N1" s="36"/>
      <c r="O1" s="35"/>
      <c r="P1" s="37"/>
      <c r="Q1" s="37"/>
      <c r="R1" s="35"/>
      <c r="S1" s="37"/>
      <c r="T1" s="6"/>
      <c r="U1" s="62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</row>
    <row r="2" s="2" customFormat="1" customHeight="1" spans="1:40">
      <c r="A2" s="5"/>
      <c r="B2" s="9" t="s">
        <v>14</v>
      </c>
      <c r="C2" s="9"/>
      <c r="D2" s="9"/>
      <c r="E2" s="9"/>
      <c r="F2" s="10"/>
      <c r="G2" s="10"/>
      <c r="H2" s="11"/>
      <c r="I2" s="38"/>
      <c r="J2" s="11" t="s">
        <v>15</v>
      </c>
      <c r="K2" s="11" t="s">
        <v>16</v>
      </c>
      <c r="L2" s="39" t="s">
        <v>17</v>
      </c>
      <c r="M2" s="39"/>
      <c r="N2" s="39" t="s">
        <v>18</v>
      </c>
      <c r="O2" s="39"/>
      <c r="P2" s="39" t="s">
        <v>19</v>
      </c>
      <c r="Q2" s="39"/>
      <c r="R2" s="39" t="s">
        <v>20</v>
      </c>
      <c r="S2" s="39"/>
      <c r="T2" s="39" t="s">
        <v>21</v>
      </c>
      <c r="U2" s="39"/>
      <c r="V2" s="63" t="s">
        <v>22</v>
      </c>
      <c r="W2" s="24"/>
      <c r="X2" s="24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="2" customFormat="1" customHeight="1" spans="1:40">
      <c r="A3" s="5"/>
      <c r="B3" s="9"/>
      <c r="C3" s="9"/>
      <c r="D3" s="9"/>
      <c r="E3" s="9"/>
      <c r="F3" s="10"/>
      <c r="G3" s="10"/>
      <c r="H3" s="11"/>
      <c r="I3" s="38"/>
      <c r="J3" s="11"/>
      <c r="K3" s="11"/>
      <c r="L3" s="39"/>
      <c r="M3" s="39"/>
      <c r="N3" s="39"/>
      <c r="O3" s="39"/>
      <c r="P3" s="39"/>
      <c r="Q3" s="39"/>
      <c r="R3" s="39"/>
      <c r="S3" s="39"/>
      <c r="T3" s="39"/>
      <c r="U3" s="39"/>
      <c r="V3" s="63"/>
      <c r="W3" s="24"/>
      <c r="X3" s="24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="2" customFormat="1" customHeight="1" spans="1:40">
      <c r="A4" s="5"/>
      <c r="B4" s="12" t="s">
        <v>23</v>
      </c>
      <c r="C4" s="12"/>
      <c r="D4" s="12"/>
      <c r="E4" s="12"/>
      <c r="F4" s="13"/>
      <c r="G4" s="13"/>
      <c r="H4" s="12"/>
      <c r="I4" s="12"/>
      <c r="J4" s="30" t="s">
        <v>24</v>
      </c>
      <c r="K4" s="30" t="s">
        <v>25</v>
      </c>
      <c r="L4" s="40">
        <v>6750</v>
      </c>
      <c r="M4" s="41" t="s">
        <v>26</v>
      </c>
      <c r="N4" s="40">
        <v>9</v>
      </c>
      <c r="O4" s="41" t="s">
        <v>26</v>
      </c>
      <c r="P4" s="40">
        <v>68500</v>
      </c>
      <c r="Q4" s="41" t="s">
        <v>26</v>
      </c>
      <c r="R4" s="40">
        <v>16500</v>
      </c>
      <c r="S4" s="41" t="s">
        <v>26</v>
      </c>
      <c r="T4" s="40">
        <v>950</v>
      </c>
      <c r="U4" s="41" t="s">
        <v>26</v>
      </c>
      <c r="V4" s="24" t="s">
        <v>27</v>
      </c>
      <c r="W4" s="12"/>
      <c r="X4" s="12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="2" customFormat="1" customHeight="1" spans="1:40">
      <c r="A5" s="5"/>
      <c r="B5" s="12"/>
      <c r="C5" s="12"/>
      <c r="D5" s="12"/>
      <c r="E5" s="12"/>
      <c r="F5" s="13"/>
      <c r="G5" s="13"/>
      <c r="H5" s="12"/>
      <c r="I5" s="12"/>
      <c r="J5" s="12"/>
      <c r="K5" s="12"/>
      <c r="L5" s="42"/>
      <c r="M5" s="43">
        <f>J9/6750-1</f>
        <v>-0.0284444444444445</v>
      </c>
      <c r="N5" s="42"/>
      <c r="O5" s="43">
        <f>E9/N4-1</f>
        <v>-0.111111111111111</v>
      </c>
      <c r="P5" s="42"/>
      <c r="Q5" s="43">
        <f>K9/P4-1</f>
        <v>0.812846715328467</v>
      </c>
      <c r="R5" s="42"/>
      <c r="S5" s="43">
        <f>L9/R4-1</f>
        <v>0.935575757575758</v>
      </c>
      <c r="T5" s="42"/>
      <c r="U5" s="43">
        <f>M9/T4-1</f>
        <v>0.247368421052632</v>
      </c>
      <c r="V5" s="12"/>
      <c r="W5" s="12"/>
      <c r="X5" s="12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="2" customFormat="1" customHeight="1" spans="1:40">
      <c r="A6" s="5"/>
      <c r="B6" s="14" t="s">
        <v>28</v>
      </c>
      <c r="C6" s="14" t="s">
        <v>29</v>
      </c>
      <c r="D6" s="14" t="s">
        <v>30</v>
      </c>
      <c r="E6" s="14" t="s">
        <v>31</v>
      </c>
      <c r="F6" s="15" t="s">
        <v>32</v>
      </c>
      <c r="G6" s="15" t="s">
        <v>33</v>
      </c>
      <c r="H6" s="14"/>
      <c r="I6" s="44"/>
      <c r="J6" s="44" t="s">
        <v>34</v>
      </c>
      <c r="K6" s="44" t="s">
        <v>35</v>
      </c>
      <c r="L6" s="44" t="s">
        <v>36</v>
      </c>
      <c r="M6" s="44" t="s">
        <v>37</v>
      </c>
      <c r="N6" s="45" t="s">
        <v>38</v>
      </c>
      <c r="O6" s="45" t="s">
        <v>39</v>
      </c>
      <c r="P6" s="45" t="s">
        <v>40</v>
      </c>
      <c r="Q6" s="45" t="s">
        <v>41</v>
      </c>
      <c r="R6" s="45" t="s">
        <v>42</v>
      </c>
      <c r="S6" s="45" t="s">
        <v>43</v>
      </c>
      <c r="T6" s="45" t="s">
        <v>44</v>
      </c>
      <c r="U6" s="64" t="s">
        <v>45</v>
      </c>
      <c r="V6" s="65" t="s">
        <v>46</v>
      </c>
      <c r="W6" s="65" t="s">
        <v>47</v>
      </c>
      <c r="X6" s="65" t="s">
        <v>48</v>
      </c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="2" customFormat="1" customHeight="1" spans="1:27">
      <c r="A7" s="5"/>
      <c r="B7" s="16" t="s">
        <v>49</v>
      </c>
      <c r="C7" s="12">
        <f>F7+G7</f>
        <v>15000</v>
      </c>
      <c r="D7" s="12" t="s">
        <v>25</v>
      </c>
      <c r="E7" s="12">
        <v>8</v>
      </c>
      <c r="F7" s="12">
        <v>7500</v>
      </c>
      <c r="G7" s="13">
        <v>7500</v>
      </c>
      <c r="H7" s="17"/>
      <c r="I7" s="12"/>
      <c r="J7" s="12">
        <v>7126</v>
      </c>
      <c r="K7" s="12">
        <v>114758</v>
      </c>
      <c r="L7" s="12">
        <v>34557</v>
      </c>
      <c r="M7" s="12">
        <v>1856</v>
      </c>
      <c r="N7" s="46">
        <v>0.0537</v>
      </c>
      <c r="O7" s="12">
        <v>953</v>
      </c>
      <c r="P7" s="47">
        <v>0.21</v>
      </c>
      <c r="Q7" s="47">
        <v>3.84</v>
      </c>
      <c r="R7" s="12">
        <v>1181</v>
      </c>
      <c r="S7" s="47">
        <v>7.92</v>
      </c>
      <c r="T7" s="24">
        <v>0</v>
      </c>
      <c r="U7" s="66">
        <v>0</v>
      </c>
      <c r="V7" s="67">
        <v>0.625</v>
      </c>
      <c r="W7" s="68">
        <v>0.375</v>
      </c>
      <c r="X7" s="69">
        <v>8</v>
      </c>
      <c r="Y7" s="5"/>
      <c r="Z7" s="5"/>
      <c r="AA7" s="5"/>
    </row>
    <row r="8" s="2" customFormat="1" customHeight="1" spans="1:40">
      <c r="A8" s="5"/>
      <c r="B8" s="12" t="s">
        <v>50</v>
      </c>
      <c r="C8" s="12">
        <v>18000</v>
      </c>
      <c r="D8" s="12" t="s">
        <v>25</v>
      </c>
      <c r="E8" s="12">
        <v>9</v>
      </c>
      <c r="F8" s="13">
        <v>9000</v>
      </c>
      <c r="G8" s="13">
        <v>9000</v>
      </c>
      <c r="H8" s="17"/>
      <c r="I8" s="12"/>
      <c r="J8" s="12">
        <v>8144.4</v>
      </c>
      <c r="K8" s="12">
        <v>83765</v>
      </c>
      <c r="L8" s="42">
        <v>19912</v>
      </c>
      <c r="M8" s="42">
        <v>1140</v>
      </c>
      <c r="N8" s="46">
        <v>0.0572519083969466</v>
      </c>
      <c r="O8" s="42">
        <v>583</v>
      </c>
      <c r="P8" s="48">
        <v>0.409019686621133</v>
      </c>
      <c r="Q8" s="48">
        <v>7.14421052631579</v>
      </c>
      <c r="R8" s="42">
        <v>1388</v>
      </c>
      <c r="S8" s="48">
        <v>6.15080691642651</v>
      </c>
      <c r="T8" s="12">
        <v>0</v>
      </c>
      <c r="U8" s="66">
        <v>0</v>
      </c>
      <c r="V8" s="67">
        <f>T11</f>
        <v>0.75</v>
      </c>
      <c r="W8" s="68">
        <f>U11</f>
        <v>0.25</v>
      </c>
      <c r="X8" s="24">
        <f>E8</f>
        <v>9</v>
      </c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="2" customFormat="1" customHeight="1" spans="1:40">
      <c r="A9" s="5"/>
      <c r="B9" s="12" t="s">
        <v>51</v>
      </c>
      <c r="C9" s="12">
        <v>6750</v>
      </c>
      <c r="D9" s="12" t="s">
        <v>25</v>
      </c>
      <c r="E9" s="12">
        <v>8</v>
      </c>
      <c r="F9" s="13">
        <v>6750</v>
      </c>
      <c r="G9" s="13" t="s">
        <v>52</v>
      </c>
      <c r="H9" s="17"/>
      <c r="I9" s="30"/>
      <c r="J9" s="30">
        <v>6558</v>
      </c>
      <c r="K9" s="30">
        <v>124180</v>
      </c>
      <c r="L9" s="40">
        <v>31937</v>
      </c>
      <c r="M9" s="40">
        <v>1185</v>
      </c>
      <c r="N9" s="49">
        <v>0.0371042990888311</v>
      </c>
      <c r="O9" s="40">
        <v>564</v>
      </c>
      <c r="P9" s="50">
        <v>0.205341766603</v>
      </c>
      <c r="Q9" s="50">
        <v>5.53417721518987</v>
      </c>
      <c r="R9" s="70">
        <v>3089</v>
      </c>
      <c r="S9" s="61">
        <v>2.32323081903529</v>
      </c>
      <c r="T9" s="12">
        <v>0</v>
      </c>
      <c r="U9" s="66">
        <v>0</v>
      </c>
      <c r="V9" s="67">
        <v>0.75</v>
      </c>
      <c r="W9" s="68">
        <v>0.25</v>
      </c>
      <c r="X9" s="24">
        <f>E9</f>
        <v>8</v>
      </c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="2" customFormat="1" customHeight="1" spans="1:40">
      <c r="A10" s="5"/>
      <c r="B10" s="9" t="s">
        <v>53</v>
      </c>
      <c r="C10" s="9"/>
      <c r="D10" s="9"/>
      <c r="E10" s="9"/>
      <c r="F10" s="18"/>
      <c r="G10" s="18"/>
      <c r="H10" s="9"/>
      <c r="I10" s="51"/>
      <c r="J10" s="51" t="s">
        <v>54</v>
      </c>
      <c r="K10" s="51"/>
      <c r="L10" s="52" t="s">
        <v>31</v>
      </c>
      <c r="M10" s="52"/>
      <c r="N10" s="52" t="s">
        <v>35</v>
      </c>
      <c r="O10" s="52"/>
      <c r="P10" s="52" t="s">
        <v>36</v>
      </c>
      <c r="Q10" s="52"/>
      <c r="R10" s="52" t="s">
        <v>37</v>
      </c>
      <c r="S10" s="52"/>
      <c r="T10" s="51" t="s">
        <v>46</v>
      </c>
      <c r="U10" s="51" t="s">
        <v>47</v>
      </c>
      <c r="V10" s="24" t="s">
        <v>55</v>
      </c>
      <c r="W10" s="24"/>
      <c r="X10" s="24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="2" customFormat="1" customHeight="1" spans="1:40">
      <c r="A11" s="5"/>
      <c r="B11" s="12" t="s">
        <v>56</v>
      </c>
      <c r="C11" s="12" t="s">
        <v>57</v>
      </c>
      <c r="D11" s="12"/>
      <c r="E11" s="12" t="s">
        <v>58</v>
      </c>
      <c r="F11" s="19" t="s">
        <v>59</v>
      </c>
      <c r="G11" s="19" t="s">
        <v>60</v>
      </c>
      <c r="H11" s="20" t="s">
        <v>61</v>
      </c>
      <c r="I11" s="20" t="s">
        <v>62</v>
      </c>
      <c r="J11" s="12">
        <f>J22</f>
        <v>6558</v>
      </c>
      <c r="K11" s="53" t="s">
        <v>63</v>
      </c>
      <c r="L11" s="12">
        <v>8</v>
      </c>
      <c r="M11" s="53" t="s">
        <v>63</v>
      </c>
      <c r="N11" s="12">
        <f>K22</f>
        <v>124180</v>
      </c>
      <c r="O11" s="53" t="s">
        <v>63</v>
      </c>
      <c r="P11" s="12">
        <f>L22</f>
        <v>31937</v>
      </c>
      <c r="Q11" s="53" t="s">
        <v>63</v>
      </c>
      <c r="R11" s="12">
        <f>M22</f>
        <v>1185</v>
      </c>
      <c r="S11" s="53" t="s">
        <v>63</v>
      </c>
      <c r="T11" s="67">
        <v>0.75</v>
      </c>
      <c r="U11" s="68">
        <v>0.25</v>
      </c>
      <c r="V11" s="24"/>
      <c r="W11" s="24"/>
      <c r="X11" s="24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="2" customFormat="1" customHeight="1" spans="1:40">
      <c r="A12" s="5"/>
      <c r="B12" s="12"/>
      <c r="C12" s="12"/>
      <c r="D12" s="12"/>
      <c r="E12" s="12"/>
      <c r="F12" s="19"/>
      <c r="G12" s="19"/>
      <c r="H12" s="20"/>
      <c r="I12" s="20"/>
      <c r="J12" s="12"/>
      <c r="K12" s="43">
        <f>J11/J8-1</f>
        <v>-0.19478414616178</v>
      </c>
      <c r="L12" s="12"/>
      <c r="M12" s="43">
        <f>L11/E8-1</f>
        <v>-0.111111111111111</v>
      </c>
      <c r="N12" s="12"/>
      <c r="O12" s="43">
        <f>N11/K8-1</f>
        <v>0.482480749716469</v>
      </c>
      <c r="P12" s="12"/>
      <c r="Q12" s="43">
        <f>P11/L8-1</f>
        <v>0.60390719164323</v>
      </c>
      <c r="R12" s="12"/>
      <c r="S12" s="43">
        <f>R11/M8-1</f>
        <v>0.0394736842105263</v>
      </c>
      <c r="T12" s="12"/>
      <c r="U12" s="53"/>
      <c r="V12" s="24"/>
      <c r="W12" s="24"/>
      <c r="X12" s="24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="2" customFormat="1" customHeight="1" spans="1:40">
      <c r="A13" s="5"/>
      <c r="B13" s="12"/>
      <c r="C13" s="12"/>
      <c r="D13" s="12"/>
      <c r="E13" s="12"/>
      <c r="F13" s="19"/>
      <c r="G13" s="19"/>
      <c r="H13" s="20"/>
      <c r="I13" s="20"/>
      <c r="J13" s="54" t="s">
        <v>34</v>
      </c>
      <c r="K13" s="55" t="s">
        <v>35</v>
      </c>
      <c r="L13" s="55" t="s">
        <v>36</v>
      </c>
      <c r="M13" s="55" t="s">
        <v>37</v>
      </c>
      <c r="N13" s="55" t="s">
        <v>38</v>
      </c>
      <c r="O13" s="56" t="s">
        <v>39</v>
      </c>
      <c r="P13" s="55" t="s">
        <v>40</v>
      </c>
      <c r="Q13" s="55" t="s">
        <v>41</v>
      </c>
      <c r="R13" s="54" t="s">
        <v>42</v>
      </c>
      <c r="S13" s="54" t="s">
        <v>43</v>
      </c>
      <c r="T13" s="55" t="s">
        <v>64</v>
      </c>
      <c r="U13" s="55" t="s">
        <v>65</v>
      </c>
      <c r="V13" s="24" t="s">
        <v>66</v>
      </c>
      <c r="W13" s="24"/>
      <c r="X13" s="24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="2" customFormat="1" customHeight="1" spans="1:40">
      <c r="A14" s="5"/>
      <c r="B14" s="21" t="s">
        <v>25</v>
      </c>
      <c r="C14" s="12" t="s">
        <v>67</v>
      </c>
      <c r="D14" s="12" t="s">
        <v>68</v>
      </c>
      <c r="E14" s="12" t="s">
        <v>69</v>
      </c>
      <c r="F14" s="13" t="s">
        <v>70</v>
      </c>
      <c r="G14" s="13" t="s">
        <v>71</v>
      </c>
      <c r="H14" s="22">
        <v>45468</v>
      </c>
      <c r="I14" s="13">
        <v>0</v>
      </c>
      <c r="J14" s="12">
        <v>2200</v>
      </c>
      <c r="K14" s="13">
        <v>16602</v>
      </c>
      <c r="L14" s="13">
        <v>6719</v>
      </c>
      <c r="M14" s="13">
        <v>160</v>
      </c>
      <c r="N14" s="46">
        <f t="shared" ref="N14:N19" si="0">M14/L14</f>
        <v>0.0238130674207471</v>
      </c>
      <c r="O14" s="13">
        <v>66</v>
      </c>
      <c r="P14" s="47">
        <f t="shared" ref="P14:P19" si="1">J14/L14</f>
        <v>0.327429677035273</v>
      </c>
      <c r="Q14" s="47">
        <f t="shared" ref="Q14:Q19" si="2">J14/M14</f>
        <v>13.75</v>
      </c>
      <c r="R14" s="13">
        <v>2</v>
      </c>
      <c r="S14" s="13">
        <v>1100</v>
      </c>
      <c r="T14" s="12" t="s">
        <v>72</v>
      </c>
      <c r="U14" s="12" t="s">
        <v>73</v>
      </c>
      <c r="V14" s="24"/>
      <c r="W14" s="24"/>
      <c r="X14" s="24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="2" customFormat="1" customHeight="1" spans="1:40">
      <c r="A15" s="5"/>
      <c r="B15" s="23"/>
      <c r="C15" s="12" t="s">
        <v>74</v>
      </c>
      <c r="D15" s="12"/>
      <c r="E15" s="12" t="s">
        <v>75</v>
      </c>
      <c r="F15" s="13" t="s">
        <v>76</v>
      </c>
      <c r="G15" s="13" t="s">
        <v>77</v>
      </c>
      <c r="H15" s="22">
        <v>45461</v>
      </c>
      <c r="I15" s="13">
        <v>0</v>
      </c>
      <c r="J15" s="12">
        <v>880</v>
      </c>
      <c r="K15" s="13">
        <v>3582</v>
      </c>
      <c r="L15" s="13">
        <v>810</v>
      </c>
      <c r="M15" s="13">
        <v>47</v>
      </c>
      <c r="N15" s="46">
        <f t="shared" si="0"/>
        <v>0.0580246913580247</v>
      </c>
      <c r="O15" s="13">
        <v>21</v>
      </c>
      <c r="P15" s="47">
        <f t="shared" si="1"/>
        <v>1.08641975308642</v>
      </c>
      <c r="Q15" s="47">
        <f t="shared" si="2"/>
        <v>18.7234042553191</v>
      </c>
      <c r="R15" s="13">
        <v>36</v>
      </c>
      <c r="S15" s="13">
        <v>24.44</v>
      </c>
      <c r="T15" s="12" t="s">
        <v>72</v>
      </c>
      <c r="U15" s="12" t="s">
        <v>78</v>
      </c>
      <c r="V15" s="24"/>
      <c r="W15" s="24"/>
      <c r="X15" s="24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="2" customFormat="1" customHeight="1" spans="1:40">
      <c r="A16" s="5"/>
      <c r="B16" s="23"/>
      <c r="C16" s="12" t="s">
        <v>74</v>
      </c>
      <c r="D16" s="12"/>
      <c r="E16" s="12" t="s">
        <v>79</v>
      </c>
      <c r="F16" s="13" t="s">
        <v>80</v>
      </c>
      <c r="G16" s="13" t="s">
        <v>81</v>
      </c>
      <c r="H16" s="22">
        <v>45460</v>
      </c>
      <c r="I16" s="13">
        <v>0</v>
      </c>
      <c r="J16" s="12">
        <v>1320</v>
      </c>
      <c r="K16" s="13">
        <v>19659</v>
      </c>
      <c r="L16" s="13">
        <v>7721</v>
      </c>
      <c r="M16" s="13">
        <v>225</v>
      </c>
      <c r="N16" s="46">
        <f t="shared" si="0"/>
        <v>0.0291413029400337</v>
      </c>
      <c r="O16" s="13">
        <v>103</v>
      </c>
      <c r="P16" s="47">
        <f t="shared" si="1"/>
        <v>0.170962310581531</v>
      </c>
      <c r="Q16" s="47">
        <f t="shared" si="2"/>
        <v>5.86666666666667</v>
      </c>
      <c r="R16" s="13">
        <v>14</v>
      </c>
      <c r="S16" s="13">
        <v>94.29</v>
      </c>
      <c r="T16" s="12" t="s">
        <v>72</v>
      </c>
      <c r="U16" s="12" t="s">
        <v>78</v>
      </c>
      <c r="V16" s="24"/>
      <c r="W16" s="24"/>
      <c r="X16" s="24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="2" customFormat="1" customHeight="1" spans="1:40">
      <c r="A17" s="5"/>
      <c r="B17" s="23"/>
      <c r="C17" s="12" t="s">
        <v>74</v>
      </c>
      <c r="D17" s="12"/>
      <c r="E17" s="12" t="s">
        <v>82</v>
      </c>
      <c r="F17" s="13" t="s">
        <v>83</v>
      </c>
      <c r="G17" s="13" t="s">
        <v>84</v>
      </c>
      <c r="H17" s="22">
        <v>45451</v>
      </c>
      <c r="I17" s="13">
        <v>618.46</v>
      </c>
      <c r="J17" s="12">
        <v>1150</v>
      </c>
      <c r="K17" s="13">
        <v>41214</v>
      </c>
      <c r="L17" s="13">
        <v>7057</v>
      </c>
      <c r="M17" s="13">
        <v>315</v>
      </c>
      <c r="N17" s="46">
        <f t="shared" si="0"/>
        <v>0.0446365311038685</v>
      </c>
      <c r="O17" s="13">
        <v>152</v>
      </c>
      <c r="P17" s="47">
        <f t="shared" si="1"/>
        <v>0.162958764347456</v>
      </c>
      <c r="Q17" s="47">
        <f t="shared" si="2"/>
        <v>3.65079365079365</v>
      </c>
      <c r="R17" s="71">
        <v>1707</v>
      </c>
      <c r="S17" s="13">
        <v>0.91</v>
      </c>
      <c r="T17" s="12" t="s">
        <v>72</v>
      </c>
      <c r="U17" s="12" t="s">
        <v>78</v>
      </c>
      <c r="V17" s="24"/>
      <c r="W17" s="24"/>
      <c r="X17" s="24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="2" customFormat="1" customHeight="1" spans="1:40">
      <c r="A18" s="5"/>
      <c r="B18" s="23"/>
      <c r="C18" s="12" t="s">
        <v>74</v>
      </c>
      <c r="D18" s="12"/>
      <c r="E18" s="12" t="s">
        <v>85</v>
      </c>
      <c r="F18" s="13" t="s">
        <v>86</v>
      </c>
      <c r="G18" s="13" t="s">
        <v>87</v>
      </c>
      <c r="H18" s="22">
        <v>45448</v>
      </c>
      <c r="I18" s="13">
        <v>0</v>
      </c>
      <c r="J18" s="12">
        <v>440</v>
      </c>
      <c r="K18" s="13">
        <v>14681</v>
      </c>
      <c r="L18" s="13">
        <v>2832</v>
      </c>
      <c r="M18" s="13">
        <v>183</v>
      </c>
      <c r="N18" s="46">
        <f t="shared" si="0"/>
        <v>0.0646186440677966</v>
      </c>
      <c r="O18" s="13">
        <v>85</v>
      </c>
      <c r="P18" s="47">
        <f t="shared" si="1"/>
        <v>0.155367231638418</v>
      </c>
      <c r="Q18" s="47">
        <f t="shared" si="2"/>
        <v>2.40437158469945</v>
      </c>
      <c r="R18" s="13">
        <v>800</v>
      </c>
      <c r="S18" s="13">
        <v>0.55</v>
      </c>
      <c r="T18" s="12" t="s">
        <v>72</v>
      </c>
      <c r="U18" s="12" t="s">
        <v>78</v>
      </c>
      <c r="V18" s="24"/>
      <c r="W18" s="24"/>
      <c r="X18" s="24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="2" customFormat="1" customHeight="1" spans="1:40">
      <c r="A19" s="5"/>
      <c r="B19" s="23"/>
      <c r="C19" s="12" t="s">
        <v>74</v>
      </c>
      <c r="D19" s="12"/>
      <c r="E19" s="12" t="s">
        <v>88</v>
      </c>
      <c r="F19" s="13" t="s">
        <v>89</v>
      </c>
      <c r="G19" s="13" t="s">
        <v>90</v>
      </c>
      <c r="H19" s="22">
        <v>45446</v>
      </c>
      <c r="I19" s="13">
        <v>0</v>
      </c>
      <c r="J19" s="12">
        <v>440</v>
      </c>
      <c r="K19" s="13">
        <v>10642</v>
      </c>
      <c r="L19" s="13">
        <v>1992</v>
      </c>
      <c r="M19" s="13">
        <v>76</v>
      </c>
      <c r="N19" s="46">
        <f t="shared" si="0"/>
        <v>0.0381526104417671</v>
      </c>
      <c r="O19" s="13">
        <v>36</v>
      </c>
      <c r="P19" s="47">
        <f t="shared" si="1"/>
        <v>0.220883534136546</v>
      </c>
      <c r="Q19" s="47">
        <f t="shared" si="2"/>
        <v>5.78947368421053</v>
      </c>
      <c r="R19" s="13">
        <v>366</v>
      </c>
      <c r="S19" s="13">
        <v>1.2</v>
      </c>
      <c r="T19" s="12" t="s">
        <v>72</v>
      </c>
      <c r="U19" s="12" t="s">
        <v>78</v>
      </c>
      <c r="V19" s="24"/>
      <c r="W19" s="24"/>
      <c r="X19" s="24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="2" customFormat="1" customHeight="1" spans="1:40">
      <c r="A20" s="5"/>
      <c r="B20" s="23"/>
      <c r="C20" s="24" t="s">
        <v>74</v>
      </c>
      <c r="D20" s="21" t="s">
        <v>91</v>
      </c>
      <c r="E20" s="12" t="s">
        <v>92</v>
      </c>
      <c r="F20" s="24" t="s">
        <v>93</v>
      </c>
      <c r="G20" s="25" t="s">
        <v>94</v>
      </c>
      <c r="H20" s="22">
        <v>45468</v>
      </c>
      <c r="I20" s="25">
        <v>0</v>
      </c>
      <c r="J20" s="12">
        <v>64</v>
      </c>
      <c r="K20" s="13">
        <v>225</v>
      </c>
      <c r="L20" s="13">
        <v>28</v>
      </c>
      <c r="M20" s="13">
        <v>2</v>
      </c>
      <c r="N20" s="57">
        <v>0.0714</v>
      </c>
      <c r="O20" s="13">
        <v>0</v>
      </c>
      <c r="P20" s="58">
        <v>2.29</v>
      </c>
      <c r="Q20" s="58">
        <v>32</v>
      </c>
      <c r="R20" s="13">
        <v>2</v>
      </c>
      <c r="S20" s="58">
        <v>32</v>
      </c>
      <c r="T20" s="13" t="s">
        <v>95</v>
      </c>
      <c r="U20" s="13" t="s">
        <v>78</v>
      </c>
      <c r="V20" s="24"/>
      <c r="W20" s="24"/>
      <c r="X20" s="24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s="2" customFormat="1" customHeight="1" spans="1:40">
      <c r="A21" s="5"/>
      <c r="B21" s="23"/>
      <c r="C21" s="24" t="s">
        <v>74</v>
      </c>
      <c r="D21" s="23"/>
      <c r="E21" s="12" t="s">
        <v>96</v>
      </c>
      <c r="F21" s="24" t="s">
        <v>97</v>
      </c>
      <c r="G21" s="25" t="s">
        <v>98</v>
      </c>
      <c r="H21" s="22">
        <v>45448</v>
      </c>
      <c r="I21" s="25">
        <v>0</v>
      </c>
      <c r="J21" s="12">
        <v>64</v>
      </c>
      <c r="K21" s="13">
        <v>17575</v>
      </c>
      <c r="L21" s="13">
        <v>4778</v>
      </c>
      <c r="M21" s="13">
        <v>177</v>
      </c>
      <c r="N21" s="57">
        <v>0.037</v>
      </c>
      <c r="O21" s="13">
        <v>101</v>
      </c>
      <c r="P21" s="58">
        <v>0.01</v>
      </c>
      <c r="Q21" s="58">
        <v>0.36</v>
      </c>
      <c r="R21" s="13">
        <v>162</v>
      </c>
      <c r="S21" s="58">
        <v>0.4</v>
      </c>
      <c r="T21" s="13" t="s">
        <v>95</v>
      </c>
      <c r="U21" s="13" t="s">
        <v>78</v>
      </c>
      <c r="V21" s="24"/>
      <c r="W21" s="24"/>
      <c r="X21" s="24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s="2" customFormat="1" customHeight="1" spans="1:40">
      <c r="A22" s="5"/>
      <c r="B22" s="23"/>
      <c r="C22" s="26"/>
      <c r="D22" s="27" t="s">
        <v>99</v>
      </c>
      <c r="E22" s="26"/>
      <c r="F22" s="28"/>
      <c r="G22" s="28"/>
      <c r="H22" s="29"/>
      <c r="I22" s="27">
        <f t="shared" ref="I22:M22" si="3">SUM(I14:I21)</f>
        <v>618.46</v>
      </c>
      <c r="J22" s="27">
        <f t="shared" si="3"/>
        <v>6558</v>
      </c>
      <c r="K22" s="27">
        <f t="shared" si="3"/>
        <v>124180</v>
      </c>
      <c r="L22" s="27">
        <f t="shared" si="3"/>
        <v>31937</v>
      </c>
      <c r="M22" s="27">
        <f t="shared" si="3"/>
        <v>1185</v>
      </c>
      <c r="N22" s="59">
        <f t="shared" ref="N22:N43" si="4">M22/L22</f>
        <v>0.0371042990888311</v>
      </c>
      <c r="O22" s="27">
        <f>SUM(O14:O21)</f>
        <v>564</v>
      </c>
      <c r="P22" s="60">
        <f t="shared" ref="P22:P43" si="5">J22/L22</f>
        <v>0.205341766603</v>
      </c>
      <c r="Q22" s="60">
        <f t="shared" ref="Q22:Q43" si="6">J22/M22</f>
        <v>5.53417721518987</v>
      </c>
      <c r="R22" s="27">
        <f>SUM(R14:R21)</f>
        <v>3089</v>
      </c>
      <c r="S22" s="60">
        <f>(J22+I22)/R22</f>
        <v>2.32323081903529</v>
      </c>
      <c r="T22" s="26"/>
      <c r="U22" s="26"/>
      <c r="V22" s="24"/>
      <c r="W22" s="24"/>
      <c r="X22" s="24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="2" customFormat="1" customHeight="1" spans="1:40">
      <c r="A23" s="5"/>
      <c r="B23" s="23"/>
      <c r="C23" s="12" t="s">
        <v>74</v>
      </c>
      <c r="D23" s="12" t="s">
        <v>100</v>
      </c>
      <c r="E23" s="12" t="s">
        <v>101</v>
      </c>
      <c r="F23" s="13" t="s">
        <v>102</v>
      </c>
      <c r="G23" s="13" t="s">
        <v>52</v>
      </c>
      <c r="H23" s="22" t="s">
        <v>52</v>
      </c>
      <c r="I23" s="9"/>
      <c r="J23" s="13">
        <v>1236</v>
      </c>
      <c r="K23" s="13">
        <v>17285</v>
      </c>
      <c r="L23" s="13">
        <v>1420</v>
      </c>
      <c r="M23" s="13">
        <v>142</v>
      </c>
      <c r="N23" s="46">
        <f t="shared" si="4"/>
        <v>0.1</v>
      </c>
      <c r="O23" s="13">
        <v>77</v>
      </c>
      <c r="P23" s="47">
        <f t="shared" si="5"/>
        <v>0.870422535211268</v>
      </c>
      <c r="Q23" s="47">
        <f t="shared" si="6"/>
        <v>8.70422535211268</v>
      </c>
      <c r="R23" s="72" t="s">
        <v>52</v>
      </c>
      <c r="S23" s="72" t="s">
        <v>52</v>
      </c>
      <c r="T23" s="12"/>
      <c r="U23" s="12"/>
      <c r="V23" s="24"/>
      <c r="W23" s="24"/>
      <c r="X23" s="24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s="2" customFormat="1" customHeight="1" spans="1:40">
      <c r="A24" s="5"/>
      <c r="B24" s="23"/>
      <c r="C24" s="12" t="s">
        <v>74</v>
      </c>
      <c r="D24" s="12"/>
      <c r="E24" s="12" t="s">
        <v>103</v>
      </c>
      <c r="F24" s="13" t="s">
        <v>104</v>
      </c>
      <c r="G24" s="13"/>
      <c r="H24" s="22"/>
      <c r="I24" s="12"/>
      <c r="J24" s="13">
        <v>6199</v>
      </c>
      <c r="K24" s="13">
        <v>97203</v>
      </c>
      <c r="L24" s="13">
        <v>7938</v>
      </c>
      <c r="M24" s="13">
        <v>2949</v>
      </c>
      <c r="N24" s="46">
        <f t="shared" si="4"/>
        <v>0.371504157218443</v>
      </c>
      <c r="O24" s="13">
        <v>2085</v>
      </c>
      <c r="P24" s="47">
        <f t="shared" si="5"/>
        <v>0.78092718568909</v>
      </c>
      <c r="Q24" s="47">
        <f t="shared" si="6"/>
        <v>2.10206849779586</v>
      </c>
      <c r="R24" s="72"/>
      <c r="S24" s="72"/>
      <c r="T24" s="12"/>
      <c r="U24" s="12"/>
      <c r="V24" s="24"/>
      <c r="W24" s="24"/>
      <c r="X24" s="24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s="2" customFormat="1" customHeight="1" spans="1:40">
      <c r="A25" s="5"/>
      <c r="B25" s="23"/>
      <c r="C25" s="12" t="s">
        <v>74</v>
      </c>
      <c r="D25" s="12"/>
      <c r="E25" s="12" t="s">
        <v>105</v>
      </c>
      <c r="F25" s="13" t="s">
        <v>106</v>
      </c>
      <c r="G25" s="13"/>
      <c r="H25" s="22"/>
      <c r="I25" s="12"/>
      <c r="J25" s="13">
        <v>14</v>
      </c>
      <c r="K25" s="13">
        <v>154</v>
      </c>
      <c r="L25" s="13">
        <v>10</v>
      </c>
      <c r="M25" s="13">
        <v>5</v>
      </c>
      <c r="N25" s="46">
        <f t="shared" si="4"/>
        <v>0.5</v>
      </c>
      <c r="O25" s="13">
        <v>2</v>
      </c>
      <c r="P25" s="47">
        <f t="shared" si="5"/>
        <v>1.4</v>
      </c>
      <c r="Q25" s="47">
        <f t="shared" si="6"/>
        <v>2.8</v>
      </c>
      <c r="R25" s="72"/>
      <c r="S25" s="72"/>
      <c r="T25" s="12"/>
      <c r="U25" s="12"/>
      <c r="V25" s="24"/>
      <c r="W25" s="24"/>
      <c r="X25" s="24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="2" customFormat="1" customHeight="1" spans="1:40">
      <c r="A26" s="5"/>
      <c r="B26" s="23"/>
      <c r="C26" s="12" t="s">
        <v>74</v>
      </c>
      <c r="D26" s="12"/>
      <c r="E26" s="12" t="s">
        <v>107</v>
      </c>
      <c r="F26" s="13" t="s">
        <v>108</v>
      </c>
      <c r="G26" s="13"/>
      <c r="H26" s="22"/>
      <c r="I26" s="12"/>
      <c r="J26" s="13">
        <v>104</v>
      </c>
      <c r="K26" s="13">
        <v>1368</v>
      </c>
      <c r="L26" s="13">
        <v>182</v>
      </c>
      <c r="M26" s="13">
        <v>43</v>
      </c>
      <c r="N26" s="46">
        <f t="shared" si="4"/>
        <v>0.236263736263736</v>
      </c>
      <c r="O26" s="13">
        <v>25</v>
      </c>
      <c r="P26" s="47">
        <f t="shared" si="5"/>
        <v>0.571428571428571</v>
      </c>
      <c r="Q26" s="47">
        <f t="shared" si="6"/>
        <v>2.41860465116279</v>
      </c>
      <c r="R26" s="72"/>
      <c r="S26" s="72"/>
      <c r="T26" s="12"/>
      <c r="U26" s="12"/>
      <c r="V26" s="24"/>
      <c r="W26" s="24"/>
      <c r="X26" s="24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s="2" customFormat="1" customHeight="1" spans="1:40">
      <c r="A27" s="5"/>
      <c r="B27" s="23"/>
      <c r="C27" s="12" t="s">
        <v>74</v>
      </c>
      <c r="D27" s="12"/>
      <c r="E27" s="12" t="s">
        <v>107</v>
      </c>
      <c r="F27" s="13" t="s">
        <v>109</v>
      </c>
      <c r="G27" s="13"/>
      <c r="H27" s="22"/>
      <c r="I27" s="12"/>
      <c r="J27" s="13">
        <v>5</v>
      </c>
      <c r="K27" s="13">
        <v>226</v>
      </c>
      <c r="L27" s="13">
        <v>11</v>
      </c>
      <c r="M27" s="13">
        <v>3</v>
      </c>
      <c r="N27" s="46">
        <f t="shared" si="4"/>
        <v>0.272727272727273</v>
      </c>
      <c r="O27" s="13">
        <v>1</v>
      </c>
      <c r="P27" s="47">
        <f t="shared" si="5"/>
        <v>0.454545454545455</v>
      </c>
      <c r="Q27" s="47">
        <f t="shared" si="6"/>
        <v>1.66666666666667</v>
      </c>
      <c r="R27" s="72"/>
      <c r="S27" s="72"/>
      <c r="T27" s="12"/>
      <c r="U27" s="12"/>
      <c r="V27" s="24"/>
      <c r="W27" s="24"/>
      <c r="X27" s="24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s="2" customFormat="1" customHeight="1" spans="1:40">
      <c r="A28" s="5"/>
      <c r="B28" s="23"/>
      <c r="C28" s="12" t="s">
        <v>74</v>
      </c>
      <c r="D28" s="12"/>
      <c r="E28" s="12" t="s">
        <v>107</v>
      </c>
      <c r="F28" s="13" t="s">
        <v>110</v>
      </c>
      <c r="G28" s="13"/>
      <c r="H28" s="22"/>
      <c r="I28" s="12"/>
      <c r="J28" s="13">
        <v>16</v>
      </c>
      <c r="K28" s="13">
        <v>267</v>
      </c>
      <c r="L28" s="13">
        <v>17</v>
      </c>
      <c r="M28" s="13">
        <v>1</v>
      </c>
      <c r="N28" s="46">
        <f t="shared" si="4"/>
        <v>0.0588235294117647</v>
      </c>
      <c r="O28" s="13">
        <v>1</v>
      </c>
      <c r="P28" s="47">
        <f t="shared" si="5"/>
        <v>0.941176470588235</v>
      </c>
      <c r="Q28" s="47">
        <f t="shared" si="6"/>
        <v>16</v>
      </c>
      <c r="R28" s="72"/>
      <c r="S28" s="72"/>
      <c r="T28" s="12"/>
      <c r="U28" s="12"/>
      <c r="V28" s="24"/>
      <c r="W28" s="24"/>
      <c r="X28" s="24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s="2" customFormat="1" customHeight="1" spans="1:40">
      <c r="A29" s="5"/>
      <c r="B29" s="23"/>
      <c r="C29" s="12" t="s">
        <v>67</v>
      </c>
      <c r="D29" s="12"/>
      <c r="E29" s="12" t="s">
        <v>107</v>
      </c>
      <c r="F29" s="13" t="s">
        <v>111</v>
      </c>
      <c r="G29" s="13"/>
      <c r="H29" s="22"/>
      <c r="I29" s="9"/>
      <c r="J29" s="13">
        <v>31</v>
      </c>
      <c r="K29" s="13">
        <v>453</v>
      </c>
      <c r="L29" s="13">
        <v>54</v>
      </c>
      <c r="M29" s="13">
        <v>8</v>
      </c>
      <c r="N29" s="46">
        <f t="shared" si="4"/>
        <v>0.148148148148148</v>
      </c>
      <c r="O29" s="13">
        <v>4</v>
      </c>
      <c r="P29" s="47">
        <f t="shared" si="5"/>
        <v>0.574074074074074</v>
      </c>
      <c r="Q29" s="47">
        <f t="shared" si="6"/>
        <v>3.875</v>
      </c>
      <c r="R29" s="72"/>
      <c r="S29" s="72"/>
      <c r="T29" s="9"/>
      <c r="U29" s="9"/>
      <c r="V29" s="24"/>
      <c r="W29" s="24"/>
      <c r="X29" s="24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s="2" customFormat="1" customHeight="1" spans="1:40">
      <c r="A30" s="5"/>
      <c r="B30" s="23"/>
      <c r="C30" s="12" t="s">
        <v>74</v>
      </c>
      <c r="D30" s="12"/>
      <c r="E30" s="12" t="s">
        <v>112</v>
      </c>
      <c r="F30" s="13" t="s">
        <v>113</v>
      </c>
      <c r="G30" s="13"/>
      <c r="H30" s="22"/>
      <c r="I30" s="9"/>
      <c r="J30" s="13">
        <v>3</v>
      </c>
      <c r="K30" s="13">
        <v>114</v>
      </c>
      <c r="L30" s="13">
        <v>9</v>
      </c>
      <c r="M30" s="13">
        <v>1</v>
      </c>
      <c r="N30" s="46">
        <f t="shared" si="4"/>
        <v>0.111111111111111</v>
      </c>
      <c r="O30" s="13">
        <v>0</v>
      </c>
      <c r="P30" s="47">
        <f t="shared" si="5"/>
        <v>0.333333333333333</v>
      </c>
      <c r="Q30" s="47">
        <f t="shared" si="6"/>
        <v>3</v>
      </c>
      <c r="R30" s="72"/>
      <c r="S30" s="72"/>
      <c r="T30" s="9"/>
      <c r="U30" s="9"/>
      <c r="V30" s="24"/>
      <c r="W30" s="24"/>
      <c r="X30" s="24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 s="2" customFormat="1" customHeight="1" spans="1:40">
      <c r="A31" s="5"/>
      <c r="B31" s="23"/>
      <c r="C31" s="12" t="s">
        <v>74</v>
      </c>
      <c r="D31" s="12"/>
      <c r="E31" s="12" t="s">
        <v>112</v>
      </c>
      <c r="F31" s="13" t="s">
        <v>114</v>
      </c>
      <c r="G31" s="13"/>
      <c r="H31" s="22"/>
      <c r="I31" s="9"/>
      <c r="J31" s="13">
        <v>1200</v>
      </c>
      <c r="K31" s="13">
        <v>24417</v>
      </c>
      <c r="L31" s="13">
        <v>2119</v>
      </c>
      <c r="M31" s="13">
        <v>467</v>
      </c>
      <c r="N31" s="46">
        <f t="shared" si="4"/>
        <v>0.220386974988202</v>
      </c>
      <c r="O31" s="13">
        <v>362</v>
      </c>
      <c r="P31" s="47">
        <f t="shared" si="5"/>
        <v>0.566304860783388</v>
      </c>
      <c r="Q31" s="47">
        <f t="shared" si="6"/>
        <v>2.56959314775161</v>
      </c>
      <c r="R31" s="72"/>
      <c r="S31" s="72"/>
      <c r="T31" s="9"/>
      <c r="U31" s="9"/>
      <c r="V31" s="24"/>
      <c r="W31" s="24"/>
      <c r="X31" s="24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s="2" customFormat="1" customHeight="1" spans="1:40">
      <c r="A32" s="5"/>
      <c r="B32" s="23"/>
      <c r="C32" s="12" t="s">
        <v>74</v>
      </c>
      <c r="D32" s="12"/>
      <c r="E32" s="12" t="s">
        <v>112</v>
      </c>
      <c r="F32" s="13" t="s">
        <v>115</v>
      </c>
      <c r="G32" s="13"/>
      <c r="H32" s="22"/>
      <c r="I32" s="9"/>
      <c r="J32" s="13">
        <v>1</v>
      </c>
      <c r="K32" s="13">
        <v>269</v>
      </c>
      <c r="L32" s="13">
        <v>10</v>
      </c>
      <c r="M32" s="13">
        <v>1</v>
      </c>
      <c r="N32" s="46">
        <f t="shared" si="4"/>
        <v>0.1</v>
      </c>
      <c r="O32" s="13">
        <v>1</v>
      </c>
      <c r="P32" s="47">
        <f t="shared" si="5"/>
        <v>0.1</v>
      </c>
      <c r="Q32" s="47">
        <f t="shared" si="6"/>
        <v>1</v>
      </c>
      <c r="R32" s="72"/>
      <c r="S32" s="72"/>
      <c r="T32" s="9"/>
      <c r="U32" s="9"/>
      <c r="V32" s="24"/>
      <c r="W32" s="24"/>
      <c r="X32" s="24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s="2" customFormat="1" customHeight="1" spans="1:40">
      <c r="A33" s="5"/>
      <c r="B33" s="23"/>
      <c r="C33" s="12" t="s">
        <v>67</v>
      </c>
      <c r="D33" s="12"/>
      <c r="E33" s="12" t="s">
        <v>116</v>
      </c>
      <c r="F33" s="13" t="s">
        <v>117</v>
      </c>
      <c r="G33" s="13"/>
      <c r="H33" s="22"/>
      <c r="I33" s="9"/>
      <c r="J33" s="13">
        <v>16</v>
      </c>
      <c r="K33" s="13">
        <v>210</v>
      </c>
      <c r="L33" s="13">
        <v>14</v>
      </c>
      <c r="M33" s="13">
        <v>4</v>
      </c>
      <c r="N33" s="46">
        <f t="shared" si="4"/>
        <v>0.285714285714286</v>
      </c>
      <c r="O33" s="13">
        <v>3</v>
      </c>
      <c r="P33" s="47">
        <f t="shared" si="5"/>
        <v>1.14285714285714</v>
      </c>
      <c r="Q33" s="47">
        <f t="shared" si="6"/>
        <v>4</v>
      </c>
      <c r="R33" s="72"/>
      <c r="S33" s="72"/>
      <c r="T33" s="9"/>
      <c r="U33" s="9"/>
      <c r="V33" s="24"/>
      <c r="W33" s="24"/>
      <c r="X33" s="24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s="2" customFormat="1" customHeight="1" spans="1:40">
      <c r="A34" s="5"/>
      <c r="B34" s="23"/>
      <c r="C34" s="12" t="s">
        <v>74</v>
      </c>
      <c r="D34" s="12"/>
      <c r="E34" s="12" t="s">
        <v>118</v>
      </c>
      <c r="F34" s="13" t="s">
        <v>119</v>
      </c>
      <c r="G34" s="13"/>
      <c r="H34" s="22"/>
      <c r="I34" s="9"/>
      <c r="J34" s="13">
        <v>46</v>
      </c>
      <c r="K34" s="13">
        <v>627</v>
      </c>
      <c r="L34" s="13">
        <v>61</v>
      </c>
      <c r="M34" s="13">
        <v>10</v>
      </c>
      <c r="N34" s="46">
        <f t="shared" si="4"/>
        <v>0.163934426229508</v>
      </c>
      <c r="O34" s="13">
        <v>6</v>
      </c>
      <c r="P34" s="47">
        <f t="shared" si="5"/>
        <v>0.754098360655738</v>
      </c>
      <c r="Q34" s="47">
        <f t="shared" si="6"/>
        <v>4.6</v>
      </c>
      <c r="R34" s="72"/>
      <c r="S34" s="72"/>
      <c r="T34" s="9"/>
      <c r="U34" s="9"/>
      <c r="V34" s="24"/>
      <c r="W34" s="24"/>
      <c r="X34" s="24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s="2" customFormat="1" customHeight="1" spans="1:40">
      <c r="A35" s="5"/>
      <c r="B35" s="23"/>
      <c r="C35" s="12" t="s">
        <v>74</v>
      </c>
      <c r="D35" s="12"/>
      <c r="E35" s="12" t="s">
        <v>118</v>
      </c>
      <c r="F35" s="13" t="s">
        <v>120</v>
      </c>
      <c r="G35" s="13"/>
      <c r="H35" s="22"/>
      <c r="I35" s="9"/>
      <c r="J35" s="13">
        <v>5</v>
      </c>
      <c r="K35" s="13">
        <v>134</v>
      </c>
      <c r="L35" s="13">
        <v>4</v>
      </c>
      <c r="M35" s="13">
        <v>0</v>
      </c>
      <c r="N35" s="46">
        <f t="shared" si="4"/>
        <v>0</v>
      </c>
      <c r="O35" s="13">
        <v>0</v>
      </c>
      <c r="P35" s="47">
        <f t="shared" si="5"/>
        <v>1.25</v>
      </c>
      <c r="Q35" s="47" t="e">
        <f t="shared" si="6"/>
        <v>#DIV/0!</v>
      </c>
      <c r="R35" s="72"/>
      <c r="S35" s="72"/>
      <c r="T35" s="9"/>
      <c r="U35" s="9"/>
      <c r="V35" s="24"/>
      <c r="W35" s="24"/>
      <c r="X35" s="24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s="2" customFormat="1" customHeight="1" spans="1:40">
      <c r="A36" s="5"/>
      <c r="B36" s="23"/>
      <c r="C36" s="12" t="s">
        <v>67</v>
      </c>
      <c r="D36" s="12"/>
      <c r="E36" s="12" t="s">
        <v>121</v>
      </c>
      <c r="F36" s="13" t="s">
        <v>122</v>
      </c>
      <c r="G36" s="13"/>
      <c r="H36" s="22"/>
      <c r="I36" s="9"/>
      <c r="J36" s="13">
        <v>19</v>
      </c>
      <c r="K36" s="13">
        <v>219</v>
      </c>
      <c r="L36" s="13">
        <v>14</v>
      </c>
      <c r="M36" s="13">
        <v>6</v>
      </c>
      <c r="N36" s="46">
        <f t="shared" si="4"/>
        <v>0.428571428571429</v>
      </c>
      <c r="O36" s="13">
        <v>4</v>
      </c>
      <c r="P36" s="47">
        <f t="shared" si="5"/>
        <v>1.35714285714286</v>
      </c>
      <c r="Q36" s="47">
        <f t="shared" si="6"/>
        <v>3.16666666666667</v>
      </c>
      <c r="R36" s="72"/>
      <c r="S36" s="72"/>
      <c r="T36" s="9"/>
      <c r="U36" s="9"/>
      <c r="V36" s="24"/>
      <c r="W36" s="24"/>
      <c r="X36" s="24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s="2" customFormat="1" customHeight="1" spans="1:40">
      <c r="A37" s="5"/>
      <c r="B37" s="23"/>
      <c r="C37" s="12" t="s">
        <v>74</v>
      </c>
      <c r="D37" s="12"/>
      <c r="E37" s="12" t="s">
        <v>123</v>
      </c>
      <c r="F37" s="13" t="s">
        <v>124</v>
      </c>
      <c r="G37" s="13"/>
      <c r="H37" s="22"/>
      <c r="I37" s="9"/>
      <c r="J37" s="13">
        <v>716</v>
      </c>
      <c r="K37" s="13">
        <v>6828</v>
      </c>
      <c r="L37" s="13">
        <v>556</v>
      </c>
      <c r="M37" s="13">
        <v>96</v>
      </c>
      <c r="N37" s="46">
        <f t="shared" si="4"/>
        <v>0.172661870503597</v>
      </c>
      <c r="O37" s="13">
        <v>52</v>
      </c>
      <c r="P37" s="47">
        <f t="shared" si="5"/>
        <v>1.28776978417266</v>
      </c>
      <c r="Q37" s="47">
        <f t="shared" si="6"/>
        <v>7.45833333333333</v>
      </c>
      <c r="R37" s="72"/>
      <c r="S37" s="72"/>
      <c r="T37" s="9"/>
      <c r="U37" s="9"/>
      <c r="V37" s="24"/>
      <c r="W37" s="24"/>
      <c r="X37" s="24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s="2" customFormat="1" customHeight="1" spans="1:40">
      <c r="A38" s="5"/>
      <c r="B38" s="23"/>
      <c r="C38" s="12" t="s">
        <v>74</v>
      </c>
      <c r="D38" s="12"/>
      <c r="E38" s="12">
        <v>6.6262389e+23</v>
      </c>
      <c r="F38" s="13" t="s">
        <v>125</v>
      </c>
      <c r="G38" s="13"/>
      <c r="H38" s="22"/>
      <c r="I38" s="9"/>
      <c r="J38" s="13">
        <v>623</v>
      </c>
      <c r="K38" s="13">
        <v>6022</v>
      </c>
      <c r="L38" s="13">
        <v>527</v>
      </c>
      <c r="M38" s="13">
        <v>71</v>
      </c>
      <c r="N38" s="46">
        <f t="shared" si="4"/>
        <v>0.134724857685009</v>
      </c>
      <c r="O38" s="13">
        <v>45</v>
      </c>
      <c r="P38" s="47">
        <f t="shared" si="5"/>
        <v>1.18216318785579</v>
      </c>
      <c r="Q38" s="47">
        <f t="shared" si="6"/>
        <v>8.77464788732394</v>
      </c>
      <c r="R38" s="72"/>
      <c r="S38" s="72"/>
      <c r="T38" s="9"/>
      <c r="U38" s="9"/>
      <c r="V38" s="24"/>
      <c r="W38" s="24"/>
      <c r="X38" s="24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 s="2" customFormat="1" customHeight="1" spans="1:40">
      <c r="A39" s="5"/>
      <c r="B39" s="23"/>
      <c r="C39" s="12" t="s">
        <v>74</v>
      </c>
      <c r="D39" s="12"/>
      <c r="E39" s="12" t="s">
        <v>126</v>
      </c>
      <c r="F39" s="13" t="s">
        <v>127</v>
      </c>
      <c r="G39" s="13"/>
      <c r="H39" s="22"/>
      <c r="I39" s="9"/>
      <c r="J39" s="13">
        <v>25</v>
      </c>
      <c r="K39" s="13">
        <v>513</v>
      </c>
      <c r="L39" s="13">
        <v>60</v>
      </c>
      <c r="M39" s="13">
        <v>12</v>
      </c>
      <c r="N39" s="46">
        <f t="shared" si="4"/>
        <v>0.2</v>
      </c>
      <c r="O39" s="13">
        <v>8</v>
      </c>
      <c r="P39" s="47">
        <f t="shared" si="5"/>
        <v>0.416666666666667</v>
      </c>
      <c r="Q39" s="47">
        <f t="shared" si="6"/>
        <v>2.08333333333333</v>
      </c>
      <c r="R39" s="72"/>
      <c r="S39" s="72"/>
      <c r="T39" s="9"/>
      <c r="U39" s="9"/>
      <c r="V39" s="24"/>
      <c r="W39" s="24"/>
      <c r="X39" s="24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="2" customFormat="1" customHeight="1" spans="1:40">
      <c r="A40" s="5"/>
      <c r="B40" s="23"/>
      <c r="C40" s="12" t="s">
        <v>74</v>
      </c>
      <c r="D40" s="12"/>
      <c r="E40" s="12" t="s">
        <v>126</v>
      </c>
      <c r="F40" s="13" t="s">
        <v>128</v>
      </c>
      <c r="G40" s="13"/>
      <c r="H40" s="22"/>
      <c r="I40" s="9"/>
      <c r="J40" s="13">
        <v>26</v>
      </c>
      <c r="K40" s="13">
        <v>337</v>
      </c>
      <c r="L40" s="13">
        <v>22</v>
      </c>
      <c r="M40" s="13">
        <v>6</v>
      </c>
      <c r="N40" s="46">
        <f t="shared" si="4"/>
        <v>0.272727272727273</v>
      </c>
      <c r="O40" s="13">
        <v>3</v>
      </c>
      <c r="P40" s="47">
        <f t="shared" si="5"/>
        <v>1.18181818181818</v>
      </c>
      <c r="Q40" s="47">
        <f t="shared" si="6"/>
        <v>4.33333333333333</v>
      </c>
      <c r="R40" s="72"/>
      <c r="S40" s="72"/>
      <c r="T40" s="9"/>
      <c r="U40" s="9"/>
      <c r="V40" s="24"/>
      <c r="W40" s="24"/>
      <c r="X40" s="24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="2" customFormat="1" customHeight="1" spans="1:40">
      <c r="A41" s="5"/>
      <c r="B41" s="23"/>
      <c r="C41" s="12" t="s">
        <v>74</v>
      </c>
      <c r="D41" s="12"/>
      <c r="E41" s="12" t="s">
        <v>129</v>
      </c>
      <c r="F41" s="13" t="s">
        <v>130</v>
      </c>
      <c r="G41" s="13"/>
      <c r="H41" s="22"/>
      <c r="I41" s="9"/>
      <c r="J41" s="13">
        <v>3839</v>
      </c>
      <c r="K41" s="13">
        <v>25524</v>
      </c>
      <c r="L41" s="13">
        <v>1699</v>
      </c>
      <c r="M41" s="13">
        <v>937</v>
      </c>
      <c r="N41" s="46">
        <f t="shared" si="4"/>
        <v>0.551500882872278</v>
      </c>
      <c r="O41" s="13">
        <v>632</v>
      </c>
      <c r="P41" s="47">
        <f t="shared" si="5"/>
        <v>2.25956444967628</v>
      </c>
      <c r="Q41" s="47">
        <f t="shared" si="6"/>
        <v>4.09711846318036</v>
      </c>
      <c r="R41" s="72"/>
      <c r="S41" s="72"/>
      <c r="T41" s="9"/>
      <c r="U41" s="9"/>
      <c r="V41" s="24"/>
      <c r="W41" s="24"/>
      <c r="X41" s="24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</row>
    <row r="42" s="2" customFormat="1" customHeight="1" spans="1:40">
      <c r="A42" s="5"/>
      <c r="B42" s="30"/>
      <c r="C42" s="27"/>
      <c r="D42" s="27" t="s">
        <v>131</v>
      </c>
      <c r="E42" s="27"/>
      <c r="F42" s="31"/>
      <c r="G42" s="31"/>
      <c r="H42" s="27"/>
      <c r="I42" s="27"/>
      <c r="J42" s="27">
        <f t="shared" ref="J42:M42" si="7">SUM(J23:J41)</f>
        <v>14124</v>
      </c>
      <c r="K42" s="27">
        <f t="shared" si="7"/>
        <v>182170</v>
      </c>
      <c r="L42" s="27">
        <f t="shared" si="7"/>
        <v>14727</v>
      </c>
      <c r="M42" s="27">
        <f t="shared" si="7"/>
        <v>4762</v>
      </c>
      <c r="N42" s="59">
        <f t="shared" si="4"/>
        <v>0.323351667006179</v>
      </c>
      <c r="O42" s="27">
        <f>SUM(O23:O41)</f>
        <v>3311</v>
      </c>
      <c r="P42" s="60">
        <f t="shared" si="5"/>
        <v>0.959054797311061</v>
      </c>
      <c r="Q42" s="60">
        <f t="shared" si="6"/>
        <v>2.96598068038639</v>
      </c>
      <c r="R42" s="27"/>
      <c r="S42" s="27"/>
      <c r="T42" s="27"/>
      <c r="U42" s="27"/>
      <c r="V42" s="24"/>
      <c r="W42" s="24"/>
      <c r="X42" s="24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  <row r="43" s="2" customFormat="1" customHeight="1" spans="1:40">
      <c r="A43" s="5"/>
      <c r="B43" s="27" t="s">
        <v>132</v>
      </c>
      <c r="C43" s="27"/>
      <c r="D43" s="27"/>
      <c r="E43" s="27"/>
      <c r="F43" s="31"/>
      <c r="G43" s="31"/>
      <c r="H43" s="27"/>
      <c r="I43" s="27"/>
      <c r="J43" s="27">
        <f t="shared" ref="J43:M43" si="8">J22+J42</f>
        <v>20682</v>
      </c>
      <c r="K43" s="27">
        <f t="shared" si="8"/>
        <v>306350</v>
      </c>
      <c r="L43" s="27">
        <f t="shared" si="8"/>
        <v>46664</v>
      </c>
      <c r="M43" s="27">
        <f t="shared" si="8"/>
        <v>5947</v>
      </c>
      <c r="N43" s="59">
        <f t="shared" si="4"/>
        <v>0.127442996742671</v>
      </c>
      <c r="O43" s="27">
        <f>O22+O42</f>
        <v>3875</v>
      </c>
      <c r="P43" s="60">
        <f t="shared" si="5"/>
        <v>0.443211040630893</v>
      </c>
      <c r="Q43" s="60">
        <f t="shared" si="6"/>
        <v>3.47771985875231</v>
      </c>
      <c r="R43" s="27"/>
      <c r="S43" s="27"/>
      <c r="T43" s="27"/>
      <c r="U43" s="27"/>
      <c r="V43" s="24"/>
      <c r="W43" s="24"/>
      <c r="X43" s="24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</row>
    <row r="44" s="3" customFormat="1" customHeight="1" spans="1:24">
      <c r="A44" s="5"/>
      <c r="B44" s="32" t="s">
        <v>133</v>
      </c>
      <c r="C44" s="32"/>
      <c r="D44" s="32"/>
      <c r="E44" s="32"/>
      <c r="F44" s="15" t="s">
        <v>32</v>
      </c>
      <c r="G44" s="15" t="s">
        <v>33</v>
      </c>
      <c r="H44" s="13" t="s">
        <v>52</v>
      </c>
      <c r="I44" s="13"/>
      <c r="J44" s="11" t="s">
        <v>15</v>
      </c>
      <c r="K44" s="11" t="s">
        <v>16</v>
      </c>
      <c r="L44" s="39" t="s">
        <v>17</v>
      </c>
      <c r="M44" s="39"/>
      <c r="N44" s="39" t="s">
        <v>18</v>
      </c>
      <c r="O44" s="39"/>
      <c r="P44" s="39" t="s">
        <v>19</v>
      </c>
      <c r="Q44" s="39"/>
      <c r="R44" s="39" t="s">
        <v>20</v>
      </c>
      <c r="S44" s="39"/>
      <c r="T44" s="39" t="s">
        <v>21</v>
      </c>
      <c r="U44" s="39"/>
      <c r="V44" s="24" t="s">
        <v>134</v>
      </c>
      <c r="W44" s="24"/>
      <c r="X44" s="24"/>
    </row>
    <row r="45" s="3" customFormat="1" customHeight="1" spans="1:24">
      <c r="A45" s="5"/>
      <c r="B45" s="32"/>
      <c r="C45" s="32"/>
      <c r="D45" s="32"/>
      <c r="E45" s="32"/>
      <c r="F45" s="13" t="s">
        <v>52</v>
      </c>
      <c r="G45" s="13" t="s">
        <v>52</v>
      </c>
      <c r="H45" s="13"/>
      <c r="I45" s="13"/>
      <c r="J45" s="11"/>
      <c r="K45" s="11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24"/>
      <c r="W45" s="24"/>
      <c r="X45" s="24"/>
    </row>
    <row r="46" s="3" customFormat="1" customHeight="1" spans="1:24">
      <c r="A46" s="5"/>
      <c r="B46" s="12" t="s">
        <v>135</v>
      </c>
      <c r="C46" s="12"/>
      <c r="D46" s="12"/>
      <c r="E46" s="12"/>
      <c r="F46" s="13"/>
      <c r="G46" s="13"/>
      <c r="H46" s="13"/>
      <c r="I46" s="13"/>
      <c r="J46" s="12" t="s">
        <v>24</v>
      </c>
      <c r="K46" s="12" t="s">
        <v>25</v>
      </c>
      <c r="L46" s="42" t="s">
        <v>52</v>
      </c>
      <c r="M46" s="53" t="s">
        <v>63</v>
      </c>
      <c r="N46" s="42" t="s">
        <v>52</v>
      </c>
      <c r="O46" s="53" t="s">
        <v>63</v>
      </c>
      <c r="P46" s="42" t="s">
        <v>52</v>
      </c>
      <c r="Q46" s="53" t="s">
        <v>63</v>
      </c>
      <c r="R46" s="42" t="s">
        <v>52</v>
      </c>
      <c r="S46" s="53" t="s">
        <v>63</v>
      </c>
      <c r="T46" s="42" t="s">
        <v>52</v>
      </c>
      <c r="U46" s="53" t="s">
        <v>63</v>
      </c>
      <c r="V46" s="24" t="s">
        <v>136</v>
      </c>
      <c r="W46" s="12"/>
      <c r="X46" s="12"/>
    </row>
    <row r="47" s="3" customFormat="1" customHeight="1" spans="1:24">
      <c r="A47" s="5"/>
      <c r="B47" s="12"/>
      <c r="C47" s="12"/>
      <c r="D47" s="12"/>
      <c r="E47" s="12"/>
      <c r="F47" s="13"/>
      <c r="G47" s="13"/>
      <c r="H47" s="13"/>
      <c r="I47" s="13"/>
      <c r="J47" s="12"/>
      <c r="K47" s="12"/>
      <c r="L47" s="42"/>
      <c r="M47" s="43" t="e">
        <f>L46/F8-1</f>
        <v>#VALUE!</v>
      </c>
      <c r="N47" s="42"/>
      <c r="O47" s="43" t="e">
        <f>N46/E8-1</f>
        <v>#VALUE!</v>
      </c>
      <c r="P47" s="42"/>
      <c r="Q47" s="43" t="e">
        <f>P46/K22-1</f>
        <v>#VALUE!</v>
      </c>
      <c r="R47" s="42"/>
      <c r="S47" s="43" t="e">
        <f>R46/L22-1</f>
        <v>#VALUE!</v>
      </c>
      <c r="T47" s="42"/>
      <c r="U47" s="43" t="e">
        <f>T46/M22-1</f>
        <v>#VALUE!</v>
      </c>
      <c r="V47" s="12"/>
      <c r="W47" s="12"/>
      <c r="X47" s="12"/>
    </row>
    <row r="48" s="3" customFormat="1" customHeight="1" spans="1:24">
      <c r="A48" s="5"/>
      <c r="B48" s="5"/>
      <c r="C48" s="5"/>
      <c r="D48" s="5"/>
      <c r="E48" s="5"/>
      <c r="F48" s="33"/>
      <c r="G48" s="33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="2" customFormat="1" customHeight="1" spans="1:40">
      <c r="A49" s="5"/>
      <c r="B49" s="9" t="s">
        <v>14</v>
      </c>
      <c r="C49" s="9"/>
      <c r="D49" s="9"/>
      <c r="E49" s="9"/>
      <c r="F49" s="10"/>
      <c r="G49" s="10"/>
      <c r="H49" s="11"/>
      <c r="I49" s="11"/>
      <c r="J49" s="11" t="s">
        <v>15</v>
      </c>
      <c r="K49" s="11" t="s">
        <v>16</v>
      </c>
      <c r="L49" s="39" t="s">
        <v>17</v>
      </c>
      <c r="M49" s="39"/>
      <c r="N49" s="39" t="s">
        <v>18</v>
      </c>
      <c r="O49" s="39"/>
      <c r="P49" s="39" t="s">
        <v>19</v>
      </c>
      <c r="Q49" s="39"/>
      <c r="R49" s="39" t="s">
        <v>20</v>
      </c>
      <c r="S49" s="39"/>
      <c r="T49" s="39" t="s">
        <v>21</v>
      </c>
      <c r="U49" s="39"/>
      <c r="V49" s="24" t="s">
        <v>22</v>
      </c>
      <c r="W49" s="24"/>
      <c r="X49" s="24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</row>
    <row r="50" s="2" customFormat="1" customHeight="1" spans="1:40">
      <c r="A50" s="5"/>
      <c r="B50" s="9"/>
      <c r="C50" s="9"/>
      <c r="D50" s="9"/>
      <c r="E50" s="9"/>
      <c r="F50" s="10"/>
      <c r="G50" s="10"/>
      <c r="H50" s="11"/>
      <c r="I50" s="11"/>
      <c r="J50" s="11"/>
      <c r="K50" s="11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24"/>
      <c r="W50" s="24"/>
      <c r="X50" s="24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</row>
    <row r="51" s="2" customFormat="1" customHeight="1" spans="1:40">
      <c r="A51" s="5"/>
      <c r="B51" s="12" t="s">
        <v>137</v>
      </c>
      <c r="C51" s="12"/>
      <c r="D51" s="12"/>
      <c r="E51" s="12"/>
      <c r="F51" s="13"/>
      <c r="G51" s="13"/>
      <c r="H51" s="12"/>
      <c r="I51" s="12"/>
      <c r="J51" s="12" t="s">
        <v>138</v>
      </c>
      <c r="K51" s="12" t="s">
        <v>139</v>
      </c>
      <c r="L51" s="42">
        <v>9000</v>
      </c>
      <c r="M51" s="41" t="s">
        <v>26</v>
      </c>
      <c r="N51" s="42">
        <v>17</v>
      </c>
      <c r="O51" s="41" t="s">
        <v>26</v>
      </c>
      <c r="P51" s="42">
        <v>135000</v>
      </c>
      <c r="Q51" s="41" t="s">
        <v>26</v>
      </c>
      <c r="R51" s="42">
        <v>23500</v>
      </c>
      <c r="S51" s="41" t="s">
        <v>26</v>
      </c>
      <c r="T51" s="42">
        <v>490</v>
      </c>
      <c r="U51" s="41" t="s">
        <v>26</v>
      </c>
      <c r="V51" s="24" t="s">
        <v>140</v>
      </c>
      <c r="W51" s="24"/>
      <c r="X51" s="24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</row>
    <row r="52" s="2" customFormat="1" customHeight="1" spans="1:40">
      <c r="A52" s="5"/>
      <c r="B52" s="12"/>
      <c r="C52" s="12"/>
      <c r="D52" s="12"/>
      <c r="E52" s="12"/>
      <c r="F52" s="13"/>
      <c r="G52" s="13"/>
      <c r="H52" s="12"/>
      <c r="I52" s="12"/>
      <c r="J52" s="12"/>
      <c r="K52" s="12"/>
      <c r="L52" s="42"/>
      <c r="M52" s="43">
        <f>J57/L51-1</f>
        <v>-0.366688888888889</v>
      </c>
      <c r="N52" s="42"/>
      <c r="O52" s="43">
        <f>E57/N51-1</f>
        <v>-0.176470588235294</v>
      </c>
      <c r="P52" s="42"/>
      <c r="Q52" s="43">
        <f>K57/P51-1</f>
        <v>0.428103703703704</v>
      </c>
      <c r="R52" s="42"/>
      <c r="S52" s="43">
        <f>L57/R51-1</f>
        <v>0.558425531914894</v>
      </c>
      <c r="T52" s="42"/>
      <c r="U52" s="43">
        <f>M57/T51-1</f>
        <v>1.11632653061224</v>
      </c>
      <c r="V52" s="24"/>
      <c r="W52" s="24"/>
      <c r="X52" s="24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</row>
    <row r="53" s="2" customFormat="1" customHeight="1" spans="1:40">
      <c r="A53" s="5"/>
      <c r="B53" s="14" t="s">
        <v>28</v>
      </c>
      <c r="C53" s="14" t="s">
        <v>29</v>
      </c>
      <c r="D53" s="14" t="s">
        <v>30</v>
      </c>
      <c r="E53" s="14" t="s">
        <v>31</v>
      </c>
      <c r="F53" s="15" t="s">
        <v>32</v>
      </c>
      <c r="G53" s="15" t="s">
        <v>33</v>
      </c>
      <c r="H53" s="14"/>
      <c r="I53" s="14"/>
      <c r="J53" s="44" t="s">
        <v>34</v>
      </c>
      <c r="K53" s="44" t="s">
        <v>35</v>
      </c>
      <c r="L53" s="44" t="s">
        <v>36</v>
      </c>
      <c r="M53" s="44" t="s">
        <v>37</v>
      </c>
      <c r="N53" s="45" t="s">
        <v>38</v>
      </c>
      <c r="O53" s="45" t="s">
        <v>39</v>
      </c>
      <c r="P53" s="45" t="s">
        <v>40</v>
      </c>
      <c r="Q53" s="45" t="s">
        <v>41</v>
      </c>
      <c r="R53" s="45" t="s">
        <v>42</v>
      </c>
      <c r="S53" s="45" t="s">
        <v>43</v>
      </c>
      <c r="T53" s="45" t="s">
        <v>44</v>
      </c>
      <c r="U53" s="64" t="s">
        <v>45</v>
      </c>
      <c r="V53" s="65" t="s">
        <v>46</v>
      </c>
      <c r="W53" s="65" t="s">
        <v>47</v>
      </c>
      <c r="X53" s="65" t="s">
        <v>48</v>
      </c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</row>
    <row r="54" s="2" customFormat="1" customHeight="1" spans="1:40">
      <c r="A54" s="5"/>
      <c r="B54" s="12" t="s">
        <v>141</v>
      </c>
      <c r="C54" s="12">
        <v>10000</v>
      </c>
      <c r="D54" s="12" t="s">
        <v>139</v>
      </c>
      <c r="E54" s="12">
        <v>12</v>
      </c>
      <c r="F54" s="13"/>
      <c r="G54" s="13"/>
      <c r="H54" s="12"/>
      <c r="I54" s="17"/>
      <c r="J54" s="12"/>
      <c r="K54" s="12"/>
      <c r="L54" s="12"/>
      <c r="M54" s="12"/>
      <c r="N54" s="46"/>
      <c r="O54" s="12"/>
      <c r="P54" s="47"/>
      <c r="Q54" s="47"/>
      <c r="R54" s="12"/>
      <c r="S54" s="12"/>
      <c r="T54" s="12"/>
      <c r="U54" s="12"/>
      <c r="V54" s="63"/>
      <c r="W54" s="24"/>
      <c r="X54" s="24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 s="2" customFormat="1" customHeight="1" spans="1:40">
      <c r="A55" s="5"/>
      <c r="B55" s="12" t="s">
        <v>49</v>
      </c>
      <c r="C55" s="12">
        <f>F55+G55</f>
        <v>23000</v>
      </c>
      <c r="D55" s="12" t="s">
        <v>139</v>
      </c>
      <c r="E55" s="12">
        <v>14</v>
      </c>
      <c r="F55" s="13">
        <v>11500</v>
      </c>
      <c r="G55" s="13">
        <v>11500</v>
      </c>
      <c r="H55" s="12"/>
      <c r="I55" s="17"/>
      <c r="J55" s="12">
        <v>11320.3</v>
      </c>
      <c r="K55" s="12">
        <v>233478</v>
      </c>
      <c r="L55" s="12">
        <v>40542</v>
      </c>
      <c r="M55" s="12">
        <v>1383</v>
      </c>
      <c r="N55" s="46">
        <v>0.0341</v>
      </c>
      <c r="O55" s="12">
        <v>810</v>
      </c>
      <c r="P55" s="47">
        <v>0.28</v>
      </c>
      <c r="Q55" s="47">
        <v>8.19</v>
      </c>
      <c r="R55" s="12">
        <v>3669</v>
      </c>
      <c r="S55" s="47">
        <v>3.32</v>
      </c>
      <c r="T55" s="30">
        <v>0</v>
      </c>
      <c r="U55" s="73">
        <v>0</v>
      </c>
      <c r="V55" s="67">
        <v>0.643</v>
      </c>
      <c r="W55" s="68">
        <v>0.357</v>
      </c>
      <c r="X55" s="24">
        <f t="shared" ref="X55:X57" si="9">E55</f>
        <v>14</v>
      </c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="2" customFormat="1" customHeight="1" spans="1:40">
      <c r="A56" s="5"/>
      <c r="B56" s="12" t="s">
        <v>50</v>
      </c>
      <c r="C56" s="12">
        <f>F56+G56</f>
        <v>27000</v>
      </c>
      <c r="D56" s="12" t="s">
        <v>139</v>
      </c>
      <c r="E56" s="12">
        <v>20</v>
      </c>
      <c r="F56" s="13">
        <v>13500</v>
      </c>
      <c r="G56" s="13">
        <v>13500</v>
      </c>
      <c r="H56" s="12"/>
      <c r="I56" s="12"/>
      <c r="J56" s="30">
        <v>14889</v>
      </c>
      <c r="K56" s="30">
        <v>199445</v>
      </c>
      <c r="L56" s="40">
        <v>33329</v>
      </c>
      <c r="M56" s="40">
        <v>1274</v>
      </c>
      <c r="N56" s="49">
        <v>0.038224969246002</v>
      </c>
      <c r="O56" s="40">
        <v>633</v>
      </c>
      <c r="P56" s="50">
        <v>0.446728074649705</v>
      </c>
      <c r="Q56" s="50">
        <v>11.6868131868132</v>
      </c>
      <c r="R56" s="40">
        <v>2388</v>
      </c>
      <c r="S56" s="50">
        <v>6.31525963149079</v>
      </c>
      <c r="T56" s="30">
        <v>0</v>
      </c>
      <c r="U56" s="73">
        <v>0</v>
      </c>
      <c r="V56" s="68">
        <f>T59</f>
        <v>0.429</v>
      </c>
      <c r="W56" s="68">
        <f>U59</f>
        <v>0.571</v>
      </c>
      <c r="X56" s="24">
        <f t="shared" si="9"/>
        <v>20</v>
      </c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="2" customFormat="1" customHeight="1" spans="1:40">
      <c r="A57" s="5"/>
      <c r="B57" s="12" t="s">
        <v>51</v>
      </c>
      <c r="C57" s="12"/>
      <c r="D57" s="12" t="s">
        <v>139</v>
      </c>
      <c r="E57" s="12">
        <v>14</v>
      </c>
      <c r="F57" s="13">
        <v>9000</v>
      </c>
      <c r="G57" s="13">
        <v>9000</v>
      </c>
      <c r="H57" s="12"/>
      <c r="I57" s="12"/>
      <c r="J57" s="30">
        <v>5699.8</v>
      </c>
      <c r="K57" s="30">
        <v>192794</v>
      </c>
      <c r="L57" s="40">
        <v>36623</v>
      </c>
      <c r="M57" s="40">
        <v>1037</v>
      </c>
      <c r="N57" s="49">
        <v>0.0283155394151216</v>
      </c>
      <c r="O57" s="40">
        <v>535</v>
      </c>
      <c r="P57" s="61">
        <v>0.15563443737542</v>
      </c>
      <c r="Q57" s="61">
        <v>5.49643201542912</v>
      </c>
      <c r="R57" s="40">
        <v>1364</v>
      </c>
      <c r="S57" s="50">
        <v>4.17873900293255</v>
      </c>
      <c r="T57" s="30">
        <v>0</v>
      </c>
      <c r="U57" s="73">
        <v>0</v>
      </c>
      <c r="V57" s="68">
        <v>0.429</v>
      </c>
      <c r="W57" s="68">
        <v>0.571</v>
      </c>
      <c r="X57" s="24">
        <f t="shared" si="9"/>
        <v>14</v>
      </c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</row>
    <row r="58" s="2" customFormat="1" customHeight="1" spans="1:40">
      <c r="A58" s="5"/>
      <c r="B58" s="9" t="s">
        <v>53</v>
      </c>
      <c r="C58" s="9"/>
      <c r="D58" s="9"/>
      <c r="E58" s="9"/>
      <c r="F58" s="18"/>
      <c r="G58" s="18"/>
      <c r="H58" s="9"/>
      <c r="I58" s="9"/>
      <c r="J58" s="9" t="s">
        <v>54</v>
      </c>
      <c r="K58" s="9"/>
      <c r="L58" s="11" t="s">
        <v>31</v>
      </c>
      <c r="M58" s="11"/>
      <c r="N58" s="11" t="s">
        <v>35</v>
      </c>
      <c r="O58" s="11"/>
      <c r="P58" s="11" t="s">
        <v>36</v>
      </c>
      <c r="Q58" s="11"/>
      <c r="R58" s="11" t="s">
        <v>37</v>
      </c>
      <c r="S58" s="11"/>
      <c r="T58" s="9" t="s">
        <v>46</v>
      </c>
      <c r="U58" s="9" t="s">
        <v>47</v>
      </c>
      <c r="V58" s="24" t="s">
        <v>55</v>
      </c>
      <c r="W58" s="24"/>
      <c r="X58" s="24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 s="2" customFormat="1" customHeight="1" spans="1:40">
      <c r="A59" s="5"/>
      <c r="B59" s="12" t="s">
        <v>56</v>
      </c>
      <c r="C59" s="12" t="s">
        <v>57</v>
      </c>
      <c r="D59" s="12"/>
      <c r="E59" s="12" t="s">
        <v>58</v>
      </c>
      <c r="F59" s="19" t="s">
        <v>59</v>
      </c>
      <c r="G59" s="19" t="s">
        <v>60</v>
      </c>
      <c r="H59" s="20" t="s">
        <v>61</v>
      </c>
      <c r="I59" s="20" t="s">
        <v>62</v>
      </c>
      <c r="J59" s="12">
        <f>J76</f>
        <v>5699.8</v>
      </c>
      <c r="K59" s="53" t="s">
        <v>63</v>
      </c>
      <c r="L59" s="12">
        <v>14</v>
      </c>
      <c r="M59" s="53" t="s">
        <v>63</v>
      </c>
      <c r="N59" s="12">
        <f>K76</f>
        <v>192794</v>
      </c>
      <c r="O59" s="53" t="s">
        <v>63</v>
      </c>
      <c r="P59" s="12">
        <f>L76</f>
        <v>36623</v>
      </c>
      <c r="Q59" s="53" t="s">
        <v>63</v>
      </c>
      <c r="R59" s="12">
        <f>M76</f>
        <v>1037</v>
      </c>
      <c r="S59" s="53" t="s">
        <v>63</v>
      </c>
      <c r="T59" s="68">
        <v>0.429</v>
      </c>
      <c r="U59" s="68">
        <v>0.571</v>
      </c>
      <c r="V59" s="24"/>
      <c r="W59" s="24"/>
      <c r="X59" s="24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 s="2" customFormat="1" customHeight="1" spans="1:40">
      <c r="A60" s="5"/>
      <c r="B60" s="12"/>
      <c r="C60" s="12"/>
      <c r="D60" s="12"/>
      <c r="E60" s="12"/>
      <c r="F60" s="19"/>
      <c r="G60" s="19"/>
      <c r="H60" s="20"/>
      <c r="I60" s="20"/>
      <c r="J60" s="12"/>
      <c r="K60" s="43">
        <f>J59/J56-1</f>
        <v>-0.617180468802472</v>
      </c>
      <c r="L60" s="12"/>
      <c r="M60" s="43">
        <f>L59/E56-1</f>
        <v>-0.3</v>
      </c>
      <c r="N60" s="12"/>
      <c r="O60" s="43">
        <f>N59/K56-1</f>
        <v>-0.0333475394218957</v>
      </c>
      <c r="P60" s="12"/>
      <c r="Q60" s="43">
        <f>P59/L56-1</f>
        <v>0.0988328482702752</v>
      </c>
      <c r="R60" s="12"/>
      <c r="S60" s="43">
        <f>R59/M56-1</f>
        <v>-0.186028257456829</v>
      </c>
      <c r="T60" s="12"/>
      <c r="U60" s="53"/>
      <c r="V60" s="24"/>
      <c r="W60" s="24"/>
      <c r="X60" s="24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</row>
    <row r="61" s="2" customFormat="1" customHeight="1" spans="1:40">
      <c r="A61" s="5"/>
      <c r="B61" s="12"/>
      <c r="C61" s="12"/>
      <c r="D61" s="21"/>
      <c r="E61" s="12"/>
      <c r="F61" s="19"/>
      <c r="G61" s="19"/>
      <c r="H61" s="20"/>
      <c r="I61" s="20"/>
      <c r="J61" s="54" t="s">
        <v>34</v>
      </c>
      <c r="K61" s="55" t="s">
        <v>35</v>
      </c>
      <c r="L61" s="55" t="s">
        <v>36</v>
      </c>
      <c r="M61" s="55" t="s">
        <v>37</v>
      </c>
      <c r="N61" s="55" t="s">
        <v>38</v>
      </c>
      <c r="O61" s="56" t="s">
        <v>39</v>
      </c>
      <c r="P61" s="55" t="s">
        <v>40</v>
      </c>
      <c r="Q61" s="55" t="s">
        <v>41</v>
      </c>
      <c r="R61" s="54" t="s">
        <v>42</v>
      </c>
      <c r="S61" s="54" t="s">
        <v>43</v>
      </c>
      <c r="T61" s="55" t="s">
        <v>64</v>
      </c>
      <c r="U61" s="55" t="s">
        <v>65</v>
      </c>
      <c r="V61" s="24" t="s">
        <v>142</v>
      </c>
      <c r="W61" s="13"/>
      <c r="X61" s="1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 s="2" customFormat="1" customHeight="1" spans="1:40">
      <c r="A62" s="5"/>
      <c r="B62" s="21" t="s">
        <v>139</v>
      </c>
      <c r="C62" s="17" t="s">
        <v>67</v>
      </c>
      <c r="D62" s="12" t="s">
        <v>68</v>
      </c>
      <c r="E62" s="34" t="s">
        <v>143</v>
      </c>
      <c r="F62" s="13" t="s">
        <v>144</v>
      </c>
      <c r="G62" s="13" t="s">
        <v>145</v>
      </c>
      <c r="H62" s="22">
        <v>45464</v>
      </c>
      <c r="I62" s="13" t="s">
        <v>146</v>
      </c>
      <c r="J62" s="12">
        <v>1274</v>
      </c>
      <c r="K62" s="13">
        <v>34081</v>
      </c>
      <c r="L62" s="13">
        <v>1282</v>
      </c>
      <c r="M62" s="13">
        <v>25</v>
      </c>
      <c r="N62" s="46">
        <f t="shared" ref="N62:N67" si="10">M62/L62</f>
        <v>0.0195007800312012</v>
      </c>
      <c r="O62" s="13">
        <v>17</v>
      </c>
      <c r="P62" s="47">
        <f t="shared" ref="P62:P67" si="11">J62/L62</f>
        <v>0.993759750390016</v>
      </c>
      <c r="Q62" s="47">
        <f t="shared" ref="Q62:Q67" si="12">J62/M62</f>
        <v>50.96</v>
      </c>
      <c r="R62" s="13" t="s">
        <v>146</v>
      </c>
      <c r="S62" s="13" t="s">
        <v>146</v>
      </c>
      <c r="T62" s="12" t="s">
        <v>72</v>
      </c>
      <c r="U62" s="12" t="s">
        <v>147</v>
      </c>
      <c r="V62" s="13"/>
      <c r="W62" s="13"/>
      <c r="X62" s="1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 s="2" customFormat="1" customHeight="1" spans="1:40">
      <c r="A63" s="5"/>
      <c r="B63" s="23"/>
      <c r="C63" s="17" t="s">
        <v>67</v>
      </c>
      <c r="D63" s="13"/>
      <c r="E63" s="34" t="s">
        <v>148</v>
      </c>
      <c r="F63" s="13" t="s">
        <v>149</v>
      </c>
      <c r="G63" s="13" t="s">
        <v>150</v>
      </c>
      <c r="H63" s="22">
        <v>45457</v>
      </c>
      <c r="I63" s="13">
        <v>0</v>
      </c>
      <c r="J63" s="12">
        <v>1245</v>
      </c>
      <c r="K63" s="13">
        <v>13396</v>
      </c>
      <c r="L63" s="13">
        <v>2968</v>
      </c>
      <c r="M63" s="13">
        <v>71</v>
      </c>
      <c r="N63" s="46">
        <f t="shared" si="10"/>
        <v>0.023921832884097</v>
      </c>
      <c r="O63" s="13">
        <v>30</v>
      </c>
      <c r="P63" s="47">
        <f t="shared" si="11"/>
        <v>0.419474393530997</v>
      </c>
      <c r="Q63" s="47">
        <f t="shared" si="12"/>
        <v>17.5352112676056</v>
      </c>
      <c r="R63" s="71">
        <v>1188</v>
      </c>
      <c r="S63" s="13">
        <v>1.11</v>
      </c>
      <c r="T63" s="12" t="s">
        <v>72</v>
      </c>
      <c r="U63" s="12" t="s">
        <v>147</v>
      </c>
      <c r="V63" s="13"/>
      <c r="W63" s="13"/>
      <c r="X63" s="1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 s="2" customFormat="1" customHeight="1" spans="1:40">
      <c r="A64" s="5"/>
      <c r="B64" s="23"/>
      <c r="C64" s="17" t="s">
        <v>74</v>
      </c>
      <c r="D64" s="13"/>
      <c r="E64" s="34" t="s">
        <v>151</v>
      </c>
      <c r="F64" s="13" t="s">
        <v>152</v>
      </c>
      <c r="G64" s="13" t="s">
        <v>153</v>
      </c>
      <c r="H64" s="22">
        <v>45447</v>
      </c>
      <c r="I64" s="13" t="s">
        <v>146</v>
      </c>
      <c r="J64" s="12">
        <v>625</v>
      </c>
      <c r="K64" s="13">
        <v>5970</v>
      </c>
      <c r="L64" s="13">
        <v>1300</v>
      </c>
      <c r="M64" s="13">
        <v>9</v>
      </c>
      <c r="N64" s="46">
        <f t="shared" si="10"/>
        <v>0.00692307692307692</v>
      </c>
      <c r="O64" s="13">
        <v>6</v>
      </c>
      <c r="P64" s="47">
        <f t="shared" si="11"/>
        <v>0.480769230769231</v>
      </c>
      <c r="Q64" s="47">
        <f t="shared" si="12"/>
        <v>69.4444444444444</v>
      </c>
      <c r="R64" s="13" t="s">
        <v>146</v>
      </c>
      <c r="S64" s="13" t="s">
        <v>146</v>
      </c>
      <c r="T64" s="12" t="s">
        <v>154</v>
      </c>
      <c r="U64" s="12" t="s">
        <v>78</v>
      </c>
      <c r="V64" s="13"/>
      <c r="W64" s="13"/>
      <c r="X64" s="1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 s="2" customFormat="1" customHeight="1" spans="1:40">
      <c r="A65" s="5"/>
      <c r="B65" s="23"/>
      <c r="C65" s="17" t="s">
        <v>74</v>
      </c>
      <c r="D65" s="13"/>
      <c r="E65" s="34" t="s">
        <v>155</v>
      </c>
      <c r="F65" s="13" t="s">
        <v>156</v>
      </c>
      <c r="G65" s="13" t="s">
        <v>157</v>
      </c>
      <c r="H65" s="22">
        <v>45446</v>
      </c>
      <c r="I65" s="13" t="s">
        <v>146</v>
      </c>
      <c r="J65" s="12">
        <v>625</v>
      </c>
      <c r="K65" s="13">
        <v>9848</v>
      </c>
      <c r="L65" s="13">
        <v>690</v>
      </c>
      <c r="M65" s="13">
        <v>89</v>
      </c>
      <c r="N65" s="46">
        <f t="shared" si="10"/>
        <v>0.128985507246377</v>
      </c>
      <c r="O65" s="13">
        <v>53</v>
      </c>
      <c r="P65" s="47">
        <f t="shared" si="11"/>
        <v>0.905797101449275</v>
      </c>
      <c r="Q65" s="47">
        <f t="shared" si="12"/>
        <v>7.02247191011236</v>
      </c>
      <c r="R65" s="13" t="s">
        <v>146</v>
      </c>
      <c r="S65" s="13" t="s">
        <v>146</v>
      </c>
      <c r="T65" s="12" t="s">
        <v>154</v>
      </c>
      <c r="U65" s="12" t="s">
        <v>78</v>
      </c>
      <c r="V65" s="13"/>
      <c r="W65" s="13"/>
      <c r="X65" s="1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</row>
    <row r="66" s="2" customFormat="1" customHeight="1" spans="1:40">
      <c r="A66" s="5"/>
      <c r="B66" s="23"/>
      <c r="C66" s="17" t="s">
        <v>74</v>
      </c>
      <c r="D66" s="13"/>
      <c r="E66" s="34" t="s">
        <v>158</v>
      </c>
      <c r="F66" s="13" t="s">
        <v>159</v>
      </c>
      <c r="G66" s="13" t="s">
        <v>160</v>
      </c>
      <c r="H66" s="22">
        <v>45446</v>
      </c>
      <c r="I66" s="13" t="s">
        <v>146</v>
      </c>
      <c r="J66" s="12">
        <v>625</v>
      </c>
      <c r="K66" s="13">
        <v>8482</v>
      </c>
      <c r="L66" s="13">
        <v>1075</v>
      </c>
      <c r="M66" s="13">
        <v>20</v>
      </c>
      <c r="N66" s="46">
        <f t="shared" si="10"/>
        <v>0.0186046511627907</v>
      </c>
      <c r="O66" s="13">
        <v>15</v>
      </c>
      <c r="P66" s="47">
        <f t="shared" si="11"/>
        <v>0.581395348837209</v>
      </c>
      <c r="Q66" s="47">
        <f t="shared" si="12"/>
        <v>31.25</v>
      </c>
      <c r="R66" s="13" t="s">
        <v>146</v>
      </c>
      <c r="S66" s="13" t="s">
        <v>146</v>
      </c>
      <c r="T66" s="12" t="s">
        <v>154</v>
      </c>
      <c r="U66" s="12" t="s">
        <v>78</v>
      </c>
      <c r="V66" s="13"/>
      <c r="W66" s="13"/>
      <c r="X66" s="1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 s="2" customFormat="1" customHeight="1" spans="1:40">
      <c r="A67" s="5"/>
      <c r="B67" s="23"/>
      <c r="C67" s="17" t="s">
        <v>74</v>
      </c>
      <c r="D67" s="13"/>
      <c r="E67" s="34" t="s">
        <v>161</v>
      </c>
      <c r="F67" s="13" t="s">
        <v>162</v>
      </c>
      <c r="G67" s="13" t="s">
        <v>163</v>
      </c>
      <c r="H67" s="22">
        <v>45445</v>
      </c>
      <c r="I67" s="13" t="s">
        <v>146</v>
      </c>
      <c r="J67" s="12">
        <v>625</v>
      </c>
      <c r="K67" s="13">
        <v>76941</v>
      </c>
      <c r="L67" s="13">
        <v>11685</v>
      </c>
      <c r="M67" s="13">
        <v>98</v>
      </c>
      <c r="N67" s="46">
        <f t="shared" si="10"/>
        <v>0.00838682071031237</v>
      </c>
      <c r="O67" s="13">
        <v>40</v>
      </c>
      <c r="P67" s="47">
        <f t="shared" si="11"/>
        <v>0.0534873769790329</v>
      </c>
      <c r="Q67" s="47">
        <f t="shared" si="12"/>
        <v>6.37755102040816</v>
      </c>
      <c r="R67" s="13" t="s">
        <v>146</v>
      </c>
      <c r="S67" s="13" t="s">
        <v>146</v>
      </c>
      <c r="T67" s="12" t="s">
        <v>154</v>
      </c>
      <c r="U67" s="12" t="s">
        <v>78</v>
      </c>
      <c r="V67" s="13"/>
      <c r="W67" s="13"/>
      <c r="X67" s="1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="2" customFormat="1" customHeight="1" spans="1:40">
      <c r="A68" s="5"/>
      <c r="B68" s="23"/>
      <c r="C68" s="74" t="s">
        <v>74</v>
      </c>
      <c r="D68" s="12" t="s">
        <v>91</v>
      </c>
      <c r="E68" s="34" t="s">
        <v>164</v>
      </c>
      <c r="F68" s="12" t="s">
        <v>165</v>
      </c>
      <c r="G68" s="13" t="s">
        <v>166</v>
      </c>
      <c r="H68" s="75">
        <v>45468</v>
      </c>
      <c r="I68" s="13">
        <v>0</v>
      </c>
      <c r="J68" s="12">
        <v>64</v>
      </c>
      <c r="K68" s="13">
        <v>3991</v>
      </c>
      <c r="L68" s="13">
        <v>1171</v>
      </c>
      <c r="M68" s="13">
        <v>149</v>
      </c>
      <c r="N68" s="81">
        <v>0.1272</v>
      </c>
      <c r="O68" s="13">
        <v>76</v>
      </c>
      <c r="P68" s="82">
        <v>0.05</v>
      </c>
      <c r="Q68" s="82">
        <v>0.43</v>
      </c>
      <c r="R68" s="13">
        <v>2</v>
      </c>
      <c r="S68" s="58">
        <v>32</v>
      </c>
      <c r="T68" s="13" t="s">
        <v>95</v>
      </c>
      <c r="U68" s="13" t="s">
        <v>78</v>
      </c>
      <c r="V68" s="13"/>
      <c r="W68" s="13"/>
      <c r="X68" s="1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 s="2" customFormat="1" customHeight="1" spans="1:40">
      <c r="A69" s="5"/>
      <c r="B69" s="23"/>
      <c r="C69" s="74" t="s">
        <v>74</v>
      </c>
      <c r="D69" s="12"/>
      <c r="E69" s="34" t="s">
        <v>167</v>
      </c>
      <c r="F69" s="12" t="s">
        <v>168</v>
      </c>
      <c r="G69" s="13" t="s">
        <v>169</v>
      </c>
      <c r="H69" s="75">
        <v>45467</v>
      </c>
      <c r="I69" s="13">
        <v>0</v>
      </c>
      <c r="J69" s="12">
        <v>80</v>
      </c>
      <c r="K69" s="13">
        <v>2788</v>
      </c>
      <c r="L69" s="13">
        <v>1225</v>
      </c>
      <c r="M69" s="13">
        <v>41</v>
      </c>
      <c r="N69" s="81">
        <v>0.0335</v>
      </c>
      <c r="O69" s="13">
        <v>19</v>
      </c>
      <c r="P69" s="82">
        <v>0.07</v>
      </c>
      <c r="Q69" s="82">
        <v>1.95</v>
      </c>
      <c r="R69" s="13">
        <v>8</v>
      </c>
      <c r="S69" s="58">
        <v>10</v>
      </c>
      <c r="T69" s="13" t="s">
        <v>95</v>
      </c>
      <c r="U69" s="13" t="s">
        <v>78</v>
      </c>
      <c r="V69" s="13"/>
      <c r="W69" s="13"/>
      <c r="X69" s="1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 s="2" customFormat="1" customHeight="1" spans="1:40">
      <c r="A70" s="5"/>
      <c r="B70" s="23"/>
      <c r="C70" s="74" t="s">
        <v>74</v>
      </c>
      <c r="D70" s="12"/>
      <c r="E70" s="34" t="s">
        <v>170</v>
      </c>
      <c r="F70" s="12" t="s">
        <v>171</v>
      </c>
      <c r="G70" s="13" t="s">
        <v>172</v>
      </c>
      <c r="H70" s="75">
        <v>45466</v>
      </c>
      <c r="I70" s="13">
        <v>0</v>
      </c>
      <c r="J70" s="12">
        <v>240</v>
      </c>
      <c r="K70" s="13">
        <v>916</v>
      </c>
      <c r="L70" s="13">
        <v>225</v>
      </c>
      <c r="M70" s="13">
        <v>47</v>
      </c>
      <c r="N70" s="81">
        <v>0.2089</v>
      </c>
      <c r="O70" s="13">
        <v>22</v>
      </c>
      <c r="P70" s="82">
        <v>1.07</v>
      </c>
      <c r="Q70" s="82">
        <v>5.11</v>
      </c>
      <c r="R70" s="13">
        <v>11</v>
      </c>
      <c r="S70" s="58">
        <v>21.82</v>
      </c>
      <c r="T70" s="13" t="s">
        <v>95</v>
      </c>
      <c r="U70" s="13" t="s">
        <v>78</v>
      </c>
      <c r="V70" s="13"/>
      <c r="W70" s="13"/>
      <c r="X70" s="1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 s="2" customFormat="1" customHeight="1" spans="1:40">
      <c r="A71" s="5"/>
      <c r="B71" s="23"/>
      <c r="C71" s="74" t="s">
        <v>74</v>
      </c>
      <c r="D71" s="12"/>
      <c r="E71" s="34" t="s">
        <v>173</v>
      </c>
      <c r="F71" s="12" t="s">
        <v>174</v>
      </c>
      <c r="G71" s="13" t="s">
        <v>175</v>
      </c>
      <c r="H71" s="75">
        <v>45461</v>
      </c>
      <c r="I71" s="13">
        <v>0</v>
      </c>
      <c r="J71" s="12">
        <v>59.2</v>
      </c>
      <c r="K71" s="13">
        <v>7769</v>
      </c>
      <c r="L71" s="13">
        <v>3436</v>
      </c>
      <c r="M71" s="13">
        <v>128</v>
      </c>
      <c r="N71" s="81">
        <v>0.0373</v>
      </c>
      <c r="O71" s="13">
        <v>72</v>
      </c>
      <c r="P71" s="82">
        <v>0.02</v>
      </c>
      <c r="Q71" s="82">
        <v>0.46</v>
      </c>
      <c r="R71" s="13">
        <v>17</v>
      </c>
      <c r="S71" s="58">
        <v>3.48</v>
      </c>
      <c r="T71" s="13" t="s">
        <v>95</v>
      </c>
      <c r="U71" s="13" t="s">
        <v>78</v>
      </c>
      <c r="V71" s="13"/>
      <c r="W71" s="13"/>
      <c r="X71" s="1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 s="2" customFormat="1" customHeight="1" spans="1:40">
      <c r="A72" s="5"/>
      <c r="B72" s="23"/>
      <c r="C72" s="74" t="s">
        <v>74</v>
      </c>
      <c r="D72" s="12"/>
      <c r="E72" s="34" t="s">
        <v>176</v>
      </c>
      <c r="F72" s="12" t="s">
        <v>177</v>
      </c>
      <c r="G72" s="13" t="s">
        <v>178</v>
      </c>
      <c r="H72" s="75">
        <v>45460</v>
      </c>
      <c r="I72" s="13">
        <v>0</v>
      </c>
      <c r="J72" s="12">
        <v>72</v>
      </c>
      <c r="K72" s="13">
        <v>3092</v>
      </c>
      <c r="L72" s="13">
        <v>459</v>
      </c>
      <c r="M72" s="13">
        <v>160</v>
      </c>
      <c r="N72" s="81">
        <v>0.3486</v>
      </c>
      <c r="O72" s="13">
        <v>71</v>
      </c>
      <c r="P72" s="82">
        <v>0.16</v>
      </c>
      <c r="Q72" s="82">
        <v>0.45</v>
      </c>
      <c r="R72" s="13">
        <v>68</v>
      </c>
      <c r="S72" s="58">
        <v>1.06</v>
      </c>
      <c r="T72" s="13" t="s">
        <v>95</v>
      </c>
      <c r="U72" s="13" t="s">
        <v>78</v>
      </c>
      <c r="V72" s="13"/>
      <c r="W72" s="13"/>
      <c r="X72" s="1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</row>
    <row r="73" s="2" customFormat="1" customHeight="1" spans="1:40">
      <c r="A73" s="5"/>
      <c r="B73" s="23"/>
      <c r="C73" s="74" t="s">
        <v>74</v>
      </c>
      <c r="D73" s="12"/>
      <c r="E73" s="34" t="s">
        <v>179</v>
      </c>
      <c r="F73" s="12" t="s">
        <v>180</v>
      </c>
      <c r="G73" s="13" t="s">
        <v>181</v>
      </c>
      <c r="H73" s="75">
        <v>45458</v>
      </c>
      <c r="I73" s="13">
        <v>0</v>
      </c>
      <c r="J73" s="12">
        <v>57.6</v>
      </c>
      <c r="K73" s="13">
        <v>14246</v>
      </c>
      <c r="L73" s="13">
        <v>6513</v>
      </c>
      <c r="M73" s="13">
        <v>91</v>
      </c>
      <c r="N73" s="81">
        <v>0.014</v>
      </c>
      <c r="O73" s="13">
        <v>57</v>
      </c>
      <c r="P73" s="82">
        <v>0.01</v>
      </c>
      <c r="Q73" s="82">
        <v>0.63</v>
      </c>
      <c r="R73" s="13">
        <v>29</v>
      </c>
      <c r="S73" s="58">
        <v>1.99</v>
      </c>
      <c r="T73" s="13" t="s">
        <v>95</v>
      </c>
      <c r="U73" s="13" t="s">
        <v>78</v>
      </c>
      <c r="V73" s="13"/>
      <c r="W73" s="13"/>
      <c r="X73" s="1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</row>
    <row r="74" s="2" customFormat="1" customHeight="1" spans="1:40">
      <c r="A74" s="5"/>
      <c r="B74" s="23"/>
      <c r="C74" s="74" t="s">
        <v>74</v>
      </c>
      <c r="D74" s="12"/>
      <c r="E74" s="34" t="s">
        <v>182</v>
      </c>
      <c r="F74" s="12" t="s">
        <v>183</v>
      </c>
      <c r="G74" s="13" t="s">
        <v>184</v>
      </c>
      <c r="H74" s="75">
        <v>45454</v>
      </c>
      <c r="I74" s="13">
        <v>0</v>
      </c>
      <c r="J74" s="12">
        <v>20</v>
      </c>
      <c r="K74" s="13">
        <v>1006</v>
      </c>
      <c r="L74" s="13">
        <v>120</v>
      </c>
      <c r="M74" s="13">
        <v>17</v>
      </c>
      <c r="N74" s="81">
        <v>0.1417</v>
      </c>
      <c r="O74" s="13">
        <v>4</v>
      </c>
      <c r="P74" s="82">
        <v>0.17</v>
      </c>
      <c r="Q74" s="82">
        <v>1.18</v>
      </c>
      <c r="R74" s="13">
        <v>24</v>
      </c>
      <c r="S74" s="58">
        <v>0.83</v>
      </c>
      <c r="T74" s="13" t="s">
        <v>95</v>
      </c>
      <c r="U74" s="13" t="s">
        <v>78</v>
      </c>
      <c r="V74" s="13"/>
      <c r="W74" s="13"/>
      <c r="X74" s="1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 s="2" customFormat="1" customHeight="1" spans="1:40">
      <c r="A75" s="5"/>
      <c r="B75" s="23"/>
      <c r="C75" s="74" t="s">
        <v>74</v>
      </c>
      <c r="D75" s="12"/>
      <c r="E75" s="34" t="s">
        <v>185</v>
      </c>
      <c r="F75" s="12" t="s">
        <v>186</v>
      </c>
      <c r="G75" s="13" t="s">
        <v>187</v>
      </c>
      <c r="H75" s="75">
        <v>45450</v>
      </c>
      <c r="I75" s="13">
        <v>0</v>
      </c>
      <c r="J75" s="12">
        <v>88</v>
      </c>
      <c r="K75" s="13">
        <v>10268</v>
      </c>
      <c r="L75" s="13">
        <v>4474</v>
      </c>
      <c r="M75" s="13">
        <v>92</v>
      </c>
      <c r="N75" s="81">
        <v>0.0206</v>
      </c>
      <c r="O75" s="13">
        <v>53</v>
      </c>
      <c r="P75" s="82">
        <v>0.02</v>
      </c>
      <c r="Q75" s="82">
        <v>0.96</v>
      </c>
      <c r="R75" s="13">
        <v>17</v>
      </c>
      <c r="S75" s="58">
        <v>5.18</v>
      </c>
      <c r="T75" s="13" t="s">
        <v>95</v>
      </c>
      <c r="U75" s="13" t="s">
        <v>78</v>
      </c>
      <c r="V75" s="13"/>
      <c r="W75" s="13"/>
      <c r="X75" s="1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</row>
    <row r="76" s="2" customFormat="1" customHeight="1" spans="1:40">
      <c r="A76" s="5"/>
      <c r="B76" s="23"/>
      <c r="C76" s="12"/>
      <c r="D76" s="76" t="s">
        <v>99</v>
      </c>
      <c r="E76" s="26"/>
      <c r="F76" s="28"/>
      <c r="G76" s="28"/>
      <c r="H76" s="29"/>
      <c r="I76" s="27">
        <f t="shared" ref="I76:M76" si="13">SUM(I62:I75)</f>
        <v>0</v>
      </c>
      <c r="J76" s="27">
        <f t="shared" si="13"/>
        <v>5699.8</v>
      </c>
      <c r="K76" s="27">
        <f t="shared" si="13"/>
        <v>192794</v>
      </c>
      <c r="L76" s="27">
        <f t="shared" si="13"/>
        <v>36623</v>
      </c>
      <c r="M76" s="27">
        <f t="shared" si="13"/>
        <v>1037</v>
      </c>
      <c r="N76" s="59">
        <f t="shared" ref="N76:N79" si="14">M76/L76</f>
        <v>0.0283155394151216</v>
      </c>
      <c r="O76" s="27">
        <f>SUM(O62:O75)</f>
        <v>535</v>
      </c>
      <c r="P76" s="60">
        <f t="shared" ref="P76:P79" si="15">J76/L76</f>
        <v>0.15563443737542</v>
      </c>
      <c r="Q76" s="60">
        <f t="shared" ref="Q76:Q79" si="16">J76/M76</f>
        <v>5.49643201542912</v>
      </c>
      <c r="R76" s="27">
        <f>SUM(R62:R75)</f>
        <v>1364</v>
      </c>
      <c r="S76" s="60">
        <f>(J76+I76)/R76</f>
        <v>4.17873900293255</v>
      </c>
      <c r="T76" s="12"/>
      <c r="U76" s="12"/>
      <c r="V76" s="13"/>
      <c r="W76" s="13"/>
      <c r="X76" s="1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 s="2" customFormat="1" customHeight="1" spans="1:40">
      <c r="A77" s="5"/>
      <c r="B77" s="23"/>
      <c r="C77" s="12" t="s">
        <v>74</v>
      </c>
      <c r="D77" s="12" t="s">
        <v>100</v>
      </c>
      <c r="E77" s="12" t="s">
        <v>188</v>
      </c>
      <c r="F77" s="13" t="s">
        <v>189</v>
      </c>
      <c r="G77" s="13" t="s">
        <v>52</v>
      </c>
      <c r="H77" s="22" t="s">
        <v>52</v>
      </c>
      <c r="I77" s="12"/>
      <c r="J77" s="13">
        <v>222.99</v>
      </c>
      <c r="K77" s="13">
        <v>2752</v>
      </c>
      <c r="L77" s="13">
        <v>241</v>
      </c>
      <c r="M77" s="13">
        <v>36</v>
      </c>
      <c r="N77" s="46">
        <f t="shared" si="14"/>
        <v>0.149377593360996</v>
      </c>
      <c r="O77" s="13">
        <v>19</v>
      </c>
      <c r="P77" s="47">
        <f t="shared" si="15"/>
        <v>0.925269709543568</v>
      </c>
      <c r="Q77" s="47">
        <f t="shared" si="16"/>
        <v>6.19416666666667</v>
      </c>
      <c r="R77" s="72" t="s">
        <v>52</v>
      </c>
      <c r="S77" s="72" t="s">
        <v>52</v>
      </c>
      <c r="T77" s="12"/>
      <c r="U77" s="12"/>
      <c r="V77" s="13"/>
      <c r="W77" s="13"/>
      <c r="X77" s="1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</row>
    <row r="78" s="2" customFormat="1" customHeight="1" spans="1:40">
      <c r="A78" s="5"/>
      <c r="B78" s="30"/>
      <c r="C78" s="27"/>
      <c r="D78" s="27" t="s">
        <v>131</v>
      </c>
      <c r="E78" s="27"/>
      <c r="F78" s="31"/>
      <c r="G78" s="31"/>
      <c r="H78" s="27"/>
      <c r="I78" s="27"/>
      <c r="J78" s="27">
        <f t="shared" ref="J78:M78" si="17">SUM(J77:J77)</f>
        <v>222.99</v>
      </c>
      <c r="K78" s="27">
        <f t="shared" si="17"/>
        <v>2752</v>
      </c>
      <c r="L78" s="27">
        <f t="shared" si="17"/>
        <v>241</v>
      </c>
      <c r="M78" s="27">
        <f t="shared" si="17"/>
        <v>36</v>
      </c>
      <c r="N78" s="59">
        <f t="shared" si="14"/>
        <v>0.149377593360996</v>
      </c>
      <c r="O78" s="27">
        <f>SUM(O77:O77)</f>
        <v>19</v>
      </c>
      <c r="P78" s="60">
        <f t="shared" si="15"/>
        <v>0.925269709543568</v>
      </c>
      <c r="Q78" s="60">
        <f t="shared" si="16"/>
        <v>6.19416666666667</v>
      </c>
      <c r="R78" s="27"/>
      <c r="S78" s="27"/>
      <c r="T78" s="27"/>
      <c r="U78" s="27"/>
      <c r="V78" s="13"/>
      <c r="W78" s="13"/>
      <c r="X78" s="1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</row>
    <row r="79" s="2" customFormat="1" customHeight="1" spans="1:40">
      <c r="A79" s="5"/>
      <c r="B79" s="27" t="s">
        <v>132</v>
      </c>
      <c r="C79" s="27"/>
      <c r="D79" s="27"/>
      <c r="E79" s="27"/>
      <c r="F79" s="31"/>
      <c r="G79" s="31"/>
      <c r="H79" s="27"/>
      <c r="I79" s="27"/>
      <c r="J79" s="27">
        <f t="shared" ref="J79:M79" si="18">J76+J78</f>
        <v>5922.79</v>
      </c>
      <c r="K79" s="27">
        <f t="shared" si="18"/>
        <v>195546</v>
      </c>
      <c r="L79" s="27">
        <f t="shared" si="18"/>
        <v>36864</v>
      </c>
      <c r="M79" s="27">
        <f t="shared" si="18"/>
        <v>1073</v>
      </c>
      <c r="N79" s="59">
        <f t="shared" si="14"/>
        <v>0.0291069878472222</v>
      </c>
      <c r="O79" s="27">
        <f>O76+O78</f>
        <v>554</v>
      </c>
      <c r="P79" s="60">
        <f t="shared" si="15"/>
        <v>0.160665961371528</v>
      </c>
      <c r="Q79" s="60">
        <f t="shared" si="16"/>
        <v>5.51984156570363</v>
      </c>
      <c r="R79" s="27"/>
      <c r="S79" s="27"/>
      <c r="T79" s="27"/>
      <c r="U79" s="27"/>
      <c r="V79" s="13"/>
      <c r="W79" s="13"/>
      <c r="X79" s="1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</row>
    <row r="80" s="3" customFormat="1" customHeight="1" spans="1:24">
      <c r="A80" s="5"/>
      <c r="B80" s="32" t="s">
        <v>133</v>
      </c>
      <c r="C80" s="32"/>
      <c r="D80" s="32"/>
      <c r="E80" s="32"/>
      <c r="F80" s="15" t="s">
        <v>32</v>
      </c>
      <c r="G80" s="15" t="s">
        <v>33</v>
      </c>
      <c r="H80" s="13" t="s">
        <v>52</v>
      </c>
      <c r="I80" s="13"/>
      <c r="J80" s="11" t="s">
        <v>15</v>
      </c>
      <c r="K80" s="11" t="s">
        <v>16</v>
      </c>
      <c r="L80" s="39" t="s">
        <v>17</v>
      </c>
      <c r="M80" s="39"/>
      <c r="N80" s="39" t="s">
        <v>18</v>
      </c>
      <c r="O80" s="39"/>
      <c r="P80" s="39" t="s">
        <v>19</v>
      </c>
      <c r="Q80" s="39"/>
      <c r="R80" s="39" t="s">
        <v>20</v>
      </c>
      <c r="S80" s="39"/>
      <c r="T80" s="39" t="s">
        <v>21</v>
      </c>
      <c r="U80" s="39"/>
      <c r="V80" s="24" t="s">
        <v>134</v>
      </c>
      <c r="W80" s="24"/>
      <c r="X80" s="24"/>
    </row>
    <row r="81" s="3" customFormat="1" customHeight="1" spans="1:24">
      <c r="A81" s="5"/>
      <c r="B81" s="32"/>
      <c r="C81" s="32"/>
      <c r="D81" s="32"/>
      <c r="E81" s="32"/>
      <c r="F81" s="13">
        <v>5000</v>
      </c>
      <c r="G81" s="13" t="s">
        <v>52</v>
      </c>
      <c r="H81" s="13"/>
      <c r="I81" s="13"/>
      <c r="J81" s="11"/>
      <c r="K81" s="11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24"/>
      <c r="W81" s="24"/>
      <c r="X81" s="24"/>
    </row>
    <row r="82" s="3" customFormat="1" customHeight="1" spans="1:24">
      <c r="A82" s="5"/>
      <c r="B82" s="12" t="s">
        <v>190</v>
      </c>
      <c r="C82" s="12"/>
      <c r="D82" s="12"/>
      <c r="E82" s="12"/>
      <c r="F82" s="13"/>
      <c r="G82" s="13"/>
      <c r="H82" s="13"/>
      <c r="I82" s="13"/>
      <c r="J82" s="12" t="s">
        <v>138</v>
      </c>
      <c r="K82" s="12" t="s">
        <v>139</v>
      </c>
      <c r="L82" s="42">
        <v>5000</v>
      </c>
      <c r="M82" s="53" t="s">
        <v>63</v>
      </c>
      <c r="N82" s="42">
        <v>8</v>
      </c>
      <c r="O82" s="53" t="s">
        <v>63</v>
      </c>
      <c r="P82" s="42">
        <v>170000</v>
      </c>
      <c r="Q82" s="53" t="s">
        <v>63</v>
      </c>
      <c r="R82" s="42">
        <v>32000</v>
      </c>
      <c r="S82" s="53" t="s">
        <v>63</v>
      </c>
      <c r="T82" s="42">
        <v>900</v>
      </c>
      <c r="U82" s="53" t="s">
        <v>63</v>
      </c>
      <c r="V82" s="24" t="s">
        <v>191</v>
      </c>
      <c r="W82" s="12"/>
      <c r="X82" s="12"/>
    </row>
    <row r="83" s="3" customFormat="1" customHeight="1" spans="1:24">
      <c r="A83" s="5"/>
      <c r="B83" s="12"/>
      <c r="C83" s="12"/>
      <c r="D83" s="12"/>
      <c r="E83" s="12"/>
      <c r="F83" s="13"/>
      <c r="G83" s="13"/>
      <c r="H83" s="13"/>
      <c r="I83" s="13"/>
      <c r="J83" s="12"/>
      <c r="K83" s="12"/>
      <c r="L83" s="42"/>
      <c r="M83" s="43">
        <f>L82/J76-1</f>
        <v>-0.122776237762729</v>
      </c>
      <c r="N83" s="42"/>
      <c r="O83" s="43">
        <f>N82/E57-1</f>
        <v>-0.428571428571429</v>
      </c>
      <c r="P83" s="42"/>
      <c r="Q83" s="43">
        <f>P82/K76-1</f>
        <v>-0.118229820430096</v>
      </c>
      <c r="R83" s="42"/>
      <c r="S83" s="43">
        <f>R82/L76-1</f>
        <v>-0.126232149195861</v>
      </c>
      <c r="T83" s="42"/>
      <c r="U83" s="43">
        <f>T82/M76-1</f>
        <v>-0.132111861137898</v>
      </c>
      <c r="V83" s="12"/>
      <c r="W83" s="12"/>
      <c r="X83" s="12"/>
    </row>
    <row r="84" s="2" customFormat="1" customHeight="1" spans="1:40">
      <c r="A84" s="5"/>
      <c r="B84" s="77"/>
      <c r="C84" s="77"/>
      <c r="D84" s="77"/>
      <c r="E84" s="77"/>
      <c r="F84" s="78"/>
      <c r="G84" s="78"/>
      <c r="H84" s="79"/>
      <c r="I84" s="79"/>
      <c r="J84" s="79"/>
      <c r="K84" s="79"/>
      <c r="L84" s="83"/>
      <c r="M84" s="83"/>
      <c r="N84" s="83"/>
      <c r="O84" s="83"/>
      <c r="P84" s="83"/>
      <c r="Q84" s="83"/>
      <c r="R84" s="5"/>
      <c r="S84" s="5"/>
      <c r="T84" s="5"/>
      <c r="U84" s="8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</row>
    <row r="85" s="2" customFormat="1" customHeight="1" spans="1:40">
      <c r="A85" s="5"/>
      <c r="B85" s="9" t="s">
        <v>14</v>
      </c>
      <c r="C85" s="9"/>
      <c r="D85" s="9"/>
      <c r="E85" s="9"/>
      <c r="F85" s="10"/>
      <c r="G85" s="10"/>
      <c r="H85" s="11"/>
      <c r="I85" s="11"/>
      <c r="J85" s="11" t="s">
        <v>15</v>
      </c>
      <c r="K85" s="11" t="s">
        <v>16</v>
      </c>
      <c r="L85" s="39" t="s">
        <v>17</v>
      </c>
      <c r="M85" s="39"/>
      <c r="N85" s="39" t="s">
        <v>18</v>
      </c>
      <c r="O85" s="39"/>
      <c r="P85" s="39" t="s">
        <v>19</v>
      </c>
      <c r="Q85" s="39"/>
      <c r="R85" s="39" t="s">
        <v>20</v>
      </c>
      <c r="S85" s="39"/>
      <c r="T85" s="39" t="s">
        <v>21</v>
      </c>
      <c r="U85" s="39"/>
      <c r="V85" s="63" t="s">
        <v>22</v>
      </c>
      <c r="W85" s="24"/>
      <c r="X85" s="24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</row>
    <row r="86" s="2" customFormat="1" customHeight="1" spans="1:40">
      <c r="A86" s="5"/>
      <c r="B86" s="9"/>
      <c r="C86" s="9"/>
      <c r="D86" s="9"/>
      <c r="E86" s="9"/>
      <c r="F86" s="10"/>
      <c r="G86" s="10"/>
      <c r="H86" s="11"/>
      <c r="I86" s="11"/>
      <c r="J86" s="11"/>
      <c r="K86" s="11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63"/>
      <c r="W86" s="24"/>
      <c r="X86" s="24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</row>
    <row r="87" s="2" customFormat="1" customHeight="1" spans="1:40">
      <c r="A87" s="5"/>
      <c r="B87" s="30" t="s">
        <v>192</v>
      </c>
      <c r="C87" s="30"/>
      <c r="D87" s="30"/>
      <c r="E87" s="30"/>
      <c r="F87" s="80"/>
      <c r="G87" s="80"/>
      <c r="H87" s="30"/>
      <c r="I87" s="30"/>
      <c r="J87" s="30" t="s">
        <v>24</v>
      </c>
      <c r="K87" s="30" t="s">
        <v>193</v>
      </c>
      <c r="L87" s="40">
        <v>5642</v>
      </c>
      <c r="M87" s="41" t="s">
        <v>26</v>
      </c>
      <c r="N87" s="40">
        <v>9</v>
      </c>
      <c r="O87" s="41" t="s">
        <v>26</v>
      </c>
      <c r="P87" s="40">
        <v>65000</v>
      </c>
      <c r="Q87" s="41" t="s">
        <v>26</v>
      </c>
      <c r="R87" s="40">
        <v>18500</v>
      </c>
      <c r="S87" s="41" t="s">
        <v>26</v>
      </c>
      <c r="T87" s="40">
        <v>600</v>
      </c>
      <c r="U87" s="41" t="s">
        <v>26</v>
      </c>
      <c r="V87" s="24" t="s">
        <v>194</v>
      </c>
      <c r="W87" s="24"/>
      <c r="X87" s="24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</row>
    <row r="88" s="2" customFormat="1" customHeight="1" spans="1:40">
      <c r="A88" s="5"/>
      <c r="B88" s="12"/>
      <c r="C88" s="12"/>
      <c r="D88" s="12"/>
      <c r="E88" s="12"/>
      <c r="F88" s="13"/>
      <c r="G88" s="13"/>
      <c r="H88" s="12"/>
      <c r="I88" s="12"/>
      <c r="J88" s="12"/>
      <c r="K88" s="12"/>
      <c r="L88" s="42"/>
      <c r="M88" s="43">
        <f>J92/L87-1</f>
        <v>-0.216111308046792</v>
      </c>
      <c r="N88" s="42"/>
      <c r="O88" s="43">
        <f>E92/N87-1</f>
        <v>-0.333333333333333</v>
      </c>
      <c r="P88" s="42"/>
      <c r="Q88" s="43">
        <f>K92/P87-1</f>
        <v>0.407830769230769</v>
      </c>
      <c r="R88" s="42"/>
      <c r="S88" s="43">
        <f>L92/R87-1</f>
        <v>0.424378378378378</v>
      </c>
      <c r="T88" s="42"/>
      <c r="U88" s="43">
        <f>M92/T87-1</f>
        <v>0.726666666666667</v>
      </c>
      <c r="V88" s="24"/>
      <c r="W88" s="24"/>
      <c r="X88" s="24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</row>
    <row r="89" s="2" customFormat="1" customHeight="1" spans="1:40">
      <c r="A89" s="5"/>
      <c r="B89" s="14" t="s">
        <v>28</v>
      </c>
      <c r="C89" s="14" t="s">
        <v>29</v>
      </c>
      <c r="D89" s="14" t="s">
        <v>30</v>
      </c>
      <c r="E89" s="14" t="s">
        <v>31</v>
      </c>
      <c r="F89" s="15" t="s">
        <v>32</v>
      </c>
      <c r="G89" s="15" t="s">
        <v>33</v>
      </c>
      <c r="H89" s="14"/>
      <c r="I89" s="14"/>
      <c r="J89" s="44" t="s">
        <v>34</v>
      </c>
      <c r="K89" s="44" t="s">
        <v>35</v>
      </c>
      <c r="L89" s="44" t="s">
        <v>36</v>
      </c>
      <c r="M89" s="44" t="s">
        <v>37</v>
      </c>
      <c r="N89" s="45" t="s">
        <v>38</v>
      </c>
      <c r="O89" s="45" t="s">
        <v>39</v>
      </c>
      <c r="P89" s="45" t="s">
        <v>40</v>
      </c>
      <c r="Q89" s="45" t="s">
        <v>41</v>
      </c>
      <c r="R89" s="45" t="s">
        <v>42</v>
      </c>
      <c r="S89" s="45" t="s">
        <v>43</v>
      </c>
      <c r="T89" s="45" t="s">
        <v>44</v>
      </c>
      <c r="U89" s="64" t="s">
        <v>45</v>
      </c>
      <c r="V89" s="85" t="s">
        <v>46</v>
      </c>
      <c r="W89" s="85" t="s">
        <v>47</v>
      </c>
      <c r="X89" s="85" t="s">
        <v>48</v>
      </c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</row>
    <row r="90" s="2" customFormat="1" customHeight="1" spans="1:40">
      <c r="A90" s="5"/>
      <c r="B90" s="12" t="s">
        <v>49</v>
      </c>
      <c r="C90" s="12">
        <f>F90+G90</f>
        <v>12538</v>
      </c>
      <c r="D90" s="12" t="s">
        <v>193</v>
      </c>
      <c r="E90" s="12">
        <v>5</v>
      </c>
      <c r="F90" s="13">
        <v>6269</v>
      </c>
      <c r="G90" s="13">
        <v>6269</v>
      </c>
      <c r="H90" s="12"/>
      <c r="I90" s="17"/>
      <c r="J90" s="13">
        <v>7018</v>
      </c>
      <c r="K90" s="13">
        <v>97991</v>
      </c>
      <c r="L90" s="13">
        <v>13654</v>
      </c>
      <c r="M90" s="13">
        <v>595</v>
      </c>
      <c r="N90" s="81">
        <v>0.0436</v>
      </c>
      <c r="O90" s="13">
        <v>303</v>
      </c>
      <c r="P90" s="84">
        <v>0.51</v>
      </c>
      <c r="Q90" s="84">
        <v>11.79</v>
      </c>
      <c r="R90" s="13">
        <v>447</v>
      </c>
      <c r="S90" s="84">
        <v>15.93</v>
      </c>
      <c r="T90" s="12">
        <v>0</v>
      </c>
      <c r="U90" s="86">
        <v>0</v>
      </c>
      <c r="V90" s="81">
        <v>0.8</v>
      </c>
      <c r="W90" s="81">
        <v>0.2</v>
      </c>
      <c r="X90" s="13">
        <v>5</v>
      </c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="2" customFormat="1" customHeight="1" spans="1:40">
      <c r="A91" s="5"/>
      <c r="B91" s="12" t="s">
        <v>50</v>
      </c>
      <c r="C91" s="12">
        <f>F91+G91</f>
        <v>15044</v>
      </c>
      <c r="D91" s="12" t="s">
        <v>193</v>
      </c>
      <c r="E91" s="12">
        <v>9</v>
      </c>
      <c r="F91" s="13">
        <v>7522</v>
      </c>
      <c r="G91" s="13">
        <v>7522</v>
      </c>
      <c r="H91" s="12"/>
      <c r="I91" s="12"/>
      <c r="J91" s="30">
        <v>7579</v>
      </c>
      <c r="K91" s="30">
        <v>88311</v>
      </c>
      <c r="L91" s="40">
        <v>25024</v>
      </c>
      <c r="M91" s="40">
        <v>806</v>
      </c>
      <c r="N91" s="49">
        <v>0.0322090792838875</v>
      </c>
      <c r="O91" s="40">
        <v>430</v>
      </c>
      <c r="P91" s="50">
        <v>0.302869245524297</v>
      </c>
      <c r="Q91" s="50">
        <v>9.40322580645161</v>
      </c>
      <c r="R91" s="40">
        <v>2206</v>
      </c>
      <c r="S91" s="50">
        <v>6.49229374433364</v>
      </c>
      <c r="T91" s="30">
        <v>0</v>
      </c>
      <c r="U91" s="87">
        <v>0</v>
      </c>
      <c r="V91" s="68">
        <f>T94</f>
        <v>1</v>
      </c>
      <c r="W91" s="68">
        <f>U94</f>
        <v>0</v>
      </c>
      <c r="X91" s="24">
        <f>E91</f>
        <v>9</v>
      </c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</row>
    <row r="92" s="2" customFormat="1" customHeight="1" spans="1:40">
      <c r="A92" s="5"/>
      <c r="B92" s="12" t="s">
        <v>51</v>
      </c>
      <c r="C92" s="12"/>
      <c r="D92" s="12" t="s">
        <v>193</v>
      </c>
      <c r="E92" s="12">
        <v>6</v>
      </c>
      <c r="F92" s="13">
        <v>5642</v>
      </c>
      <c r="G92" s="13">
        <v>5642</v>
      </c>
      <c r="H92" s="12"/>
      <c r="I92" s="12"/>
      <c r="J92" s="30">
        <v>4422.7</v>
      </c>
      <c r="K92" s="30">
        <v>91509</v>
      </c>
      <c r="L92" s="40">
        <v>26351</v>
      </c>
      <c r="M92" s="40">
        <v>1036</v>
      </c>
      <c r="N92" s="49">
        <v>0.0393153960001518</v>
      </c>
      <c r="O92" s="40">
        <v>620</v>
      </c>
      <c r="P92" s="61">
        <v>0.167838032712231</v>
      </c>
      <c r="Q92" s="61">
        <v>4.26901544401544</v>
      </c>
      <c r="R92" s="40">
        <v>841</v>
      </c>
      <c r="S92" s="50">
        <v>5.25885850178359</v>
      </c>
      <c r="T92" s="30">
        <v>0</v>
      </c>
      <c r="U92" s="87">
        <v>0</v>
      </c>
      <c r="V92" s="88">
        <v>1</v>
      </c>
      <c r="W92" s="88">
        <v>0</v>
      </c>
      <c r="X92" s="89">
        <f>E92</f>
        <v>6</v>
      </c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</row>
    <row r="93" s="2" customFormat="1" customHeight="1" spans="1:40">
      <c r="A93" s="5"/>
      <c r="B93" s="9" t="s">
        <v>53</v>
      </c>
      <c r="C93" s="9"/>
      <c r="D93" s="9"/>
      <c r="E93" s="9"/>
      <c r="F93" s="18"/>
      <c r="G93" s="18"/>
      <c r="H93" s="9"/>
      <c r="I93" s="9"/>
      <c r="J93" s="9" t="s">
        <v>54</v>
      </c>
      <c r="K93" s="9"/>
      <c r="L93" s="11" t="s">
        <v>31</v>
      </c>
      <c r="M93" s="11"/>
      <c r="N93" s="11" t="s">
        <v>35</v>
      </c>
      <c r="O93" s="11"/>
      <c r="P93" s="11" t="s">
        <v>36</v>
      </c>
      <c r="Q93" s="11"/>
      <c r="R93" s="11" t="s">
        <v>37</v>
      </c>
      <c r="S93" s="11"/>
      <c r="T93" s="9" t="s">
        <v>46</v>
      </c>
      <c r="U93" s="9" t="s">
        <v>47</v>
      </c>
      <c r="V93" s="89" t="s">
        <v>55</v>
      </c>
      <c r="W93" s="89"/>
      <c r="X93" s="89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</row>
    <row r="94" s="2" customFormat="1" customHeight="1" spans="1:40">
      <c r="A94" s="5"/>
      <c r="B94" s="12" t="s">
        <v>56</v>
      </c>
      <c r="C94" s="12" t="s">
        <v>57</v>
      </c>
      <c r="D94" s="12"/>
      <c r="E94" s="12" t="s">
        <v>58</v>
      </c>
      <c r="F94" s="19" t="s">
        <v>59</v>
      </c>
      <c r="G94" s="19" t="s">
        <v>60</v>
      </c>
      <c r="H94" s="20" t="s">
        <v>61</v>
      </c>
      <c r="I94" s="20" t="s">
        <v>62</v>
      </c>
      <c r="J94" s="12">
        <f>J103</f>
        <v>4422.7</v>
      </c>
      <c r="K94" s="53" t="s">
        <v>63</v>
      </c>
      <c r="L94" s="12">
        <v>6</v>
      </c>
      <c r="M94" s="53" t="s">
        <v>63</v>
      </c>
      <c r="N94" s="12">
        <f>K103</f>
        <v>91509</v>
      </c>
      <c r="O94" s="53" t="s">
        <v>63</v>
      </c>
      <c r="P94" s="12">
        <f>L103</f>
        <v>26351</v>
      </c>
      <c r="Q94" s="53" t="s">
        <v>63</v>
      </c>
      <c r="R94" s="12">
        <f>M103</f>
        <v>1036</v>
      </c>
      <c r="S94" s="53" t="s">
        <v>63</v>
      </c>
      <c r="T94" s="88">
        <v>1</v>
      </c>
      <c r="U94" s="88">
        <v>0</v>
      </c>
      <c r="V94" s="24"/>
      <c r="W94" s="24"/>
      <c r="X94" s="24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</row>
    <row r="95" s="2" customFormat="1" customHeight="1" spans="1:40">
      <c r="A95" s="5"/>
      <c r="B95" s="12"/>
      <c r="C95" s="12"/>
      <c r="D95" s="12"/>
      <c r="E95" s="12"/>
      <c r="F95" s="19"/>
      <c r="G95" s="19"/>
      <c r="H95" s="20"/>
      <c r="I95" s="20"/>
      <c r="J95" s="12"/>
      <c r="K95" s="43">
        <f>J94/J91-1</f>
        <v>-0.416453357962792</v>
      </c>
      <c r="L95" s="12"/>
      <c r="M95" s="43">
        <f>L94/E91-1</f>
        <v>-0.333333333333333</v>
      </c>
      <c r="N95" s="12"/>
      <c r="O95" s="43">
        <f>N94/K91-1</f>
        <v>0.0362129293066549</v>
      </c>
      <c r="P95" s="12"/>
      <c r="Q95" s="43">
        <f>P94/L91-1</f>
        <v>0.0530290920716112</v>
      </c>
      <c r="R95" s="12"/>
      <c r="S95" s="43">
        <f>R94/M91-1</f>
        <v>0.285359801488834</v>
      </c>
      <c r="T95" s="12"/>
      <c r="U95" s="53"/>
      <c r="V95" s="24"/>
      <c r="W95" s="24"/>
      <c r="X95" s="24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="2" customFormat="1" customHeight="1" spans="1:40">
      <c r="A96" s="5"/>
      <c r="B96" s="12"/>
      <c r="C96" s="12"/>
      <c r="D96" s="12"/>
      <c r="E96" s="12"/>
      <c r="F96" s="19"/>
      <c r="G96" s="19"/>
      <c r="H96" s="20"/>
      <c r="I96" s="20"/>
      <c r="J96" s="54" t="s">
        <v>34</v>
      </c>
      <c r="K96" s="55" t="s">
        <v>35</v>
      </c>
      <c r="L96" s="55" t="s">
        <v>36</v>
      </c>
      <c r="M96" s="55" t="s">
        <v>37</v>
      </c>
      <c r="N96" s="55" t="s">
        <v>38</v>
      </c>
      <c r="O96" s="56" t="s">
        <v>39</v>
      </c>
      <c r="P96" s="55" t="s">
        <v>40</v>
      </c>
      <c r="Q96" s="55" t="s">
        <v>41</v>
      </c>
      <c r="R96" s="54" t="s">
        <v>42</v>
      </c>
      <c r="S96" s="54" t="s">
        <v>43</v>
      </c>
      <c r="T96" s="55" t="s">
        <v>64</v>
      </c>
      <c r="U96" s="55" t="s">
        <v>65</v>
      </c>
      <c r="V96" s="24" t="s">
        <v>195</v>
      </c>
      <c r="W96" s="24"/>
      <c r="X96" s="24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</row>
    <row r="97" s="2" customFormat="1" customHeight="1" spans="1:40">
      <c r="A97" s="5"/>
      <c r="B97" s="21" t="s">
        <v>193</v>
      </c>
      <c r="C97" s="12" t="s">
        <v>74</v>
      </c>
      <c r="D97" s="12" t="s">
        <v>68</v>
      </c>
      <c r="E97" s="12" t="s">
        <v>196</v>
      </c>
      <c r="F97" s="13" t="s">
        <v>197</v>
      </c>
      <c r="G97" s="13" t="s">
        <v>198</v>
      </c>
      <c r="H97" s="22">
        <v>45469</v>
      </c>
      <c r="I97" s="13" t="s">
        <v>146</v>
      </c>
      <c r="J97" s="12">
        <v>1584</v>
      </c>
      <c r="K97" s="13">
        <v>887</v>
      </c>
      <c r="L97" s="13">
        <v>124</v>
      </c>
      <c r="M97" s="13">
        <v>57</v>
      </c>
      <c r="N97" s="46">
        <f t="shared" ref="N97:N104" si="19">M97/L97</f>
        <v>0.459677419354839</v>
      </c>
      <c r="O97" s="13">
        <v>28</v>
      </c>
      <c r="P97" s="47">
        <f t="shared" ref="P97:P104" si="20">J97/L97</f>
        <v>12.7741935483871</v>
      </c>
      <c r="Q97" s="47">
        <f t="shared" ref="Q97:Q104" si="21">J97/M97</f>
        <v>27.7894736842105</v>
      </c>
      <c r="R97" s="13" t="s">
        <v>146</v>
      </c>
      <c r="S97" s="13" t="s">
        <v>146</v>
      </c>
      <c r="T97" s="12" t="s">
        <v>72</v>
      </c>
      <c r="U97" s="12" t="s">
        <v>78</v>
      </c>
      <c r="V97" s="24"/>
      <c r="W97" s="24"/>
      <c r="X97" s="24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</row>
    <row r="98" s="2" customFormat="1" customHeight="1" spans="1:40">
      <c r="A98" s="5"/>
      <c r="B98" s="23"/>
      <c r="C98" s="12" t="s">
        <v>74</v>
      </c>
      <c r="D98" s="12"/>
      <c r="E98" s="12" t="s">
        <v>199</v>
      </c>
      <c r="F98" s="13" t="s">
        <v>200</v>
      </c>
      <c r="G98" s="13" t="s">
        <v>201</v>
      </c>
      <c r="H98" s="22">
        <v>45461</v>
      </c>
      <c r="I98" s="13">
        <v>0</v>
      </c>
      <c r="J98" s="12">
        <v>748</v>
      </c>
      <c r="K98" s="13">
        <v>29007</v>
      </c>
      <c r="L98" s="13">
        <v>7548</v>
      </c>
      <c r="M98" s="13">
        <v>282</v>
      </c>
      <c r="N98" s="46">
        <f t="shared" si="19"/>
        <v>0.0373608903020668</v>
      </c>
      <c r="O98" s="13">
        <v>193</v>
      </c>
      <c r="P98" s="47">
        <f t="shared" si="20"/>
        <v>0.0990990990990991</v>
      </c>
      <c r="Q98" s="47">
        <f t="shared" si="21"/>
        <v>2.65248226950355</v>
      </c>
      <c r="R98" s="13">
        <v>119</v>
      </c>
      <c r="S98" s="13">
        <v>6.29</v>
      </c>
      <c r="T98" s="12" t="s">
        <v>72</v>
      </c>
      <c r="U98" s="12" t="s">
        <v>73</v>
      </c>
      <c r="V98" s="24"/>
      <c r="W98" s="24"/>
      <c r="X98" s="24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</row>
    <row r="99" s="2" customFormat="1" customHeight="1" spans="1:40">
      <c r="A99" s="5"/>
      <c r="B99" s="23"/>
      <c r="C99" s="12" t="s">
        <v>74</v>
      </c>
      <c r="D99" s="12"/>
      <c r="E99" s="12" t="s">
        <v>202</v>
      </c>
      <c r="F99" s="13" t="s">
        <v>203</v>
      </c>
      <c r="G99" s="13" t="s">
        <v>204</v>
      </c>
      <c r="H99" s="22">
        <v>45457</v>
      </c>
      <c r="I99" s="13">
        <v>0</v>
      </c>
      <c r="J99" s="12">
        <v>469.7</v>
      </c>
      <c r="K99" s="13">
        <v>8093</v>
      </c>
      <c r="L99" s="13">
        <v>3319</v>
      </c>
      <c r="M99" s="13">
        <v>51</v>
      </c>
      <c r="N99" s="46">
        <f t="shared" si="19"/>
        <v>0.0153660741187105</v>
      </c>
      <c r="O99" s="13">
        <v>31</v>
      </c>
      <c r="P99" s="47">
        <f t="shared" si="20"/>
        <v>0.141518529677614</v>
      </c>
      <c r="Q99" s="47">
        <f t="shared" si="21"/>
        <v>9.20980392156863</v>
      </c>
      <c r="R99" s="13">
        <v>462</v>
      </c>
      <c r="S99" s="13">
        <v>1.02</v>
      </c>
      <c r="T99" s="12" t="s">
        <v>72</v>
      </c>
      <c r="U99" s="12" t="s">
        <v>78</v>
      </c>
      <c r="V99" s="24"/>
      <c r="W99" s="24"/>
      <c r="X99" s="24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</row>
    <row r="100" s="2" customFormat="1" customHeight="1" spans="1:40">
      <c r="A100" s="5"/>
      <c r="B100" s="23"/>
      <c r="C100" s="12" t="s">
        <v>74</v>
      </c>
      <c r="D100" s="12"/>
      <c r="E100" s="12" t="s">
        <v>205</v>
      </c>
      <c r="F100" s="13" t="s">
        <v>206</v>
      </c>
      <c r="G100" s="13" t="s">
        <v>207</v>
      </c>
      <c r="H100" s="22">
        <v>45451</v>
      </c>
      <c r="I100" s="13">
        <v>0</v>
      </c>
      <c r="J100" s="12">
        <v>589</v>
      </c>
      <c r="K100" s="13">
        <v>25879</v>
      </c>
      <c r="L100" s="13">
        <v>6865</v>
      </c>
      <c r="M100" s="13">
        <v>264</v>
      </c>
      <c r="N100" s="46">
        <f t="shared" si="19"/>
        <v>0.0384559359067735</v>
      </c>
      <c r="O100" s="13">
        <v>164</v>
      </c>
      <c r="P100" s="47">
        <f t="shared" si="20"/>
        <v>0.0857975236707939</v>
      </c>
      <c r="Q100" s="47">
        <f t="shared" si="21"/>
        <v>2.23106060606061</v>
      </c>
      <c r="R100" s="13">
        <v>76</v>
      </c>
      <c r="S100" s="13">
        <v>8.68</v>
      </c>
      <c r="T100" s="12" t="s">
        <v>72</v>
      </c>
      <c r="U100" s="12" t="s">
        <v>78</v>
      </c>
      <c r="V100" s="24"/>
      <c r="W100" s="24"/>
      <c r="X100" s="24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</row>
    <row r="101" s="2" customFormat="1" customHeight="1" spans="1:40">
      <c r="A101" s="5"/>
      <c r="B101" s="23"/>
      <c r="C101" s="12" t="s">
        <v>74</v>
      </c>
      <c r="D101" s="12"/>
      <c r="E101" s="12" t="s">
        <v>208</v>
      </c>
      <c r="F101" s="13" t="s">
        <v>209</v>
      </c>
      <c r="G101" s="13" t="s">
        <v>210</v>
      </c>
      <c r="H101" s="22">
        <v>45451</v>
      </c>
      <c r="I101" s="13">
        <v>0</v>
      </c>
      <c r="J101" s="12">
        <v>680</v>
      </c>
      <c r="K101" s="13">
        <v>20213</v>
      </c>
      <c r="L101" s="13">
        <v>5897</v>
      </c>
      <c r="M101" s="13">
        <v>256</v>
      </c>
      <c r="N101" s="46">
        <f t="shared" si="19"/>
        <v>0.0434119043581482</v>
      </c>
      <c r="O101" s="13">
        <v>134</v>
      </c>
      <c r="P101" s="47">
        <f t="shared" si="20"/>
        <v>0.115312870951331</v>
      </c>
      <c r="Q101" s="47">
        <f t="shared" si="21"/>
        <v>2.65625</v>
      </c>
      <c r="R101" s="13">
        <v>121</v>
      </c>
      <c r="S101" s="13">
        <v>7.27</v>
      </c>
      <c r="T101" s="12" t="s">
        <v>72</v>
      </c>
      <c r="U101" s="12" t="s">
        <v>78</v>
      </c>
      <c r="V101" s="24"/>
      <c r="W101" s="24"/>
      <c r="X101" s="24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</row>
    <row r="102" s="2" customFormat="1" customHeight="1" spans="1:40">
      <c r="A102" s="5"/>
      <c r="B102" s="23"/>
      <c r="C102" s="12" t="s">
        <v>74</v>
      </c>
      <c r="D102" s="12"/>
      <c r="E102" s="12" t="s">
        <v>211</v>
      </c>
      <c r="F102" s="13" t="s">
        <v>212</v>
      </c>
      <c r="G102" s="13" t="s">
        <v>213</v>
      </c>
      <c r="H102" s="22">
        <v>45448</v>
      </c>
      <c r="I102" s="13">
        <v>0</v>
      </c>
      <c r="J102" s="12">
        <v>352</v>
      </c>
      <c r="K102" s="13">
        <v>7430</v>
      </c>
      <c r="L102" s="13">
        <v>2598</v>
      </c>
      <c r="M102" s="13">
        <v>126</v>
      </c>
      <c r="N102" s="46">
        <f t="shared" si="19"/>
        <v>0.0484988452655889</v>
      </c>
      <c r="O102" s="13">
        <v>70</v>
      </c>
      <c r="P102" s="47">
        <f t="shared" si="20"/>
        <v>0.135488837567359</v>
      </c>
      <c r="Q102" s="47">
        <f t="shared" si="21"/>
        <v>2.79365079365079</v>
      </c>
      <c r="R102" s="13">
        <v>63</v>
      </c>
      <c r="S102" s="13">
        <v>5.59</v>
      </c>
      <c r="T102" s="12" t="s">
        <v>72</v>
      </c>
      <c r="U102" s="12" t="s">
        <v>78</v>
      </c>
      <c r="V102" s="24"/>
      <c r="W102" s="24"/>
      <c r="X102" s="24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</row>
    <row r="103" s="2" customFormat="1" customHeight="1" spans="1:40">
      <c r="A103" s="5"/>
      <c r="B103" s="23"/>
      <c r="C103" s="12"/>
      <c r="D103" s="27" t="s">
        <v>99</v>
      </c>
      <c r="E103" s="26"/>
      <c r="F103" s="28"/>
      <c r="G103" s="28"/>
      <c r="H103" s="29"/>
      <c r="I103" s="27">
        <f t="shared" ref="I103:M103" si="22">SUM(I97:I102)</f>
        <v>0</v>
      </c>
      <c r="J103" s="27">
        <f t="shared" si="22"/>
        <v>4422.7</v>
      </c>
      <c r="K103" s="27">
        <f t="shared" si="22"/>
        <v>91509</v>
      </c>
      <c r="L103" s="27">
        <f t="shared" si="22"/>
        <v>26351</v>
      </c>
      <c r="M103" s="27">
        <f t="shared" si="22"/>
        <v>1036</v>
      </c>
      <c r="N103" s="59">
        <f t="shared" si="19"/>
        <v>0.0393153960001518</v>
      </c>
      <c r="O103" s="27">
        <f>SUM(O97:O102)</f>
        <v>620</v>
      </c>
      <c r="P103" s="60">
        <f t="shared" si="20"/>
        <v>0.167838032712231</v>
      </c>
      <c r="Q103" s="60">
        <f t="shared" si="21"/>
        <v>4.26901544401544</v>
      </c>
      <c r="R103" s="27">
        <f>SUM(R97:R102)</f>
        <v>841</v>
      </c>
      <c r="S103" s="90">
        <f>(I103+J103)/R103</f>
        <v>5.25885850178359</v>
      </c>
      <c r="T103" s="12"/>
      <c r="U103" s="12"/>
      <c r="V103" s="24"/>
      <c r="W103" s="24"/>
      <c r="X103" s="24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</row>
    <row r="104" s="2" customFormat="1" customHeight="1" spans="1:40">
      <c r="A104" s="5"/>
      <c r="B104" s="27" t="s">
        <v>132</v>
      </c>
      <c r="C104" s="27"/>
      <c r="D104" s="27"/>
      <c r="E104" s="27"/>
      <c r="F104" s="31"/>
      <c r="G104" s="31"/>
      <c r="H104" s="27"/>
      <c r="I104" s="27"/>
      <c r="J104" s="27">
        <f t="shared" ref="J104:M104" si="23">J103</f>
        <v>4422.7</v>
      </c>
      <c r="K104" s="27">
        <f t="shared" si="23"/>
        <v>91509</v>
      </c>
      <c r="L104" s="27">
        <f t="shared" si="23"/>
        <v>26351</v>
      </c>
      <c r="M104" s="27">
        <f t="shared" si="23"/>
        <v>1036</v>
      </c>
      <c r="N104" s="59">
        <f t="shared" si="19"/>
        <v>0.0393153960001518</v>
      </c>
      <c r="O104" s="27">
        <f>O103</f>
        <v>620</v>
      </c>
      <c r="P104" s="60">
        <f t="shared" si="20"/>
        <v>0.167838032712231</v>
      </c>
      <c r="Q104" s="60">
        <f t="shared" si="21"/>
        <v>4.26901544401544</v>
      </c>
      <c r="R104" s="27"/>
      <c r="S104" s="27"/>
      <c r="T104" s="27"/>
      <c r="U104" s="27"/>
      <c r="V104" s="24"/>
      <c r="W104" s="24"/>
      <c r="X104" s="24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</row>
    <row r="105" s="3" customFormat="1" customHeight="1" spans="1:24">
      <c r="A105" s="5"/>
      <c r="B105" s="32" t="s">
        <v>133</v>
      </c>
      <c r="C105" s="32"/>
      <c r="D105" s="32"/>
      <c r="E105" s="32"/>
      <c r="F105" s="15" t="s">
        <v>32</v>
      </c>
      <c r="G105" s="15" t="s">
        <v>33</v>
      </c>
      <c r="H105" s="13" t="s">
        <v>52</v>
      </c>
      <c r="I105" s="13"/>
      <c r="J105" s="11" t="s">
        <v>15</v>
      </c>
      <c r="K105" s="11" t="s">
        <v>16</v>
      </c>
      <c r="L105" s="39" t="s">
        <v>17</v>
      </c>
      <c r="M105" s="39"/>
      <c r="N105" s="39" t="s">
        <v>18</v>
      </c>
      <c r="O105" s="39"/>
      <c r="P105" s="39" t="s">
        <v>19</v>
      </c>
      <c r="Q105" s="39"/>
      <c r="R105" s="39" t="s">
        <v>20</v>
      </c>
      <c r="S105" s="39"/>
      <c r="T105" s="39" t="s">
        <v>21</v>
      </c>
      <c r="U105" s="39"/>
      <c r="V105" s="24" t="s">
        <v>134</v>
      </c>
      <c r="W105" s="24"/>
      <c r="X105" s="24"/>
    </row>
    <row r="106" s="3" customFormat="1" customHeight="1" spans="1:24">
      <c r="A106" s="5"/>
      <c r="B106" s="32"/>
      <c r="C106" s="32"/>
      <c r="D106" s="32"/>
      <c r="E106" s="32"/>
      <c r="F106" s="13">
        <v>3000</v>
      </c>
      <c r="G106" s="13" t="s">
        <v>52</v>
      </c>
      <c r="H106" s="13"/>
      <c r="I106" s="13"/>
      <c r="J106" s="11"/>
      <c r="K106" s="11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24"/>
      <c r="W106" s="24"/>
      <c r="X106" s="24"/>
    </row>
    <row r="107" s="3" customFormat="1" customHeight="1" spans="1:24">
      <c r="A107" s="5"/>
      <c r="B107" s="12" t="s">
        <v>214</v>
      </c>
      <c r="C107" s="12"/>
      <c r="D107" s="12"/>
      <c r="E107" s="12"/>
      <c r="F107" s="13"/>
      <c r="G107" s="13"/>
      <c r="H107" s="13"/>
      <c r="I107" s="13"/>
      <c r="J107" s="12" t="s">
        <v>24</v>
      </c>
      <c r="K107" s="12" t="s">
        <v>193</v>
      </c>
      <c r="L107" s="42">
        <v>3000</v>
      </c>
      <c r="M107" s="53" t="s">
        <v>63</v>
      </c>
      <c r="N107" s="42">
        <v>3</v>
      </c>
      <c r="O107" s="53" t="s">
        <v>63</v>
      </c>
      <c r="P107" s="42">
        <v>61000</v>
      </c>
      <c r="Q107" s="53" t="s">
        <v>63</v>
      </c>
      <c r="R107" s="42">
        <v>17500</v>
      </c>
      <c r="S107" s="53" t="s">
        <v>63</v>
      </c>
      <c r="T107" s="42">
        <v>700</v>
      </c>
      <c r="U107" s="53" t="s">
        <v>63</v>
      </c>
      <c r="V107" s="24" t="s">
        <v>215</v>
      </c>
      <c r="W107" s="12"/>
      <c r="X107" s="12"/>
    </row>
    <row r="108" s="3" customFormat="1" customHeight="1" spans="1:24">
      <c r="A108" s="5"/>
      <c r="B108" s="12"/>
      <c r="C108" s="12"/>
      <c r="D108" s="12"/>
      <c r="E108" s="12"/>
      <c r="F108" s="13"/>
      <c r="G108" s="13"/>
      <c r="H108" s="13"/>
      <c r="I108" s="13"/>
      <c r="J108" s="12"/>
      <c r="K108" s="12"/>
      <c r="L108" s="42"/>
      <c r="M108" s="43">
        <f>L107/J103-1</f>
        <v>-0.321681325886902</v>
      </c>
      <c r="N108" s="42"/>
      <c r="O108" s="43">
        <f>N107/E92-1</f>
        <v>-0.5</v>
      </c>
      <c r="P108" s="42"/>
      <c r="Q108" s="43">
        <f>P107/K103-1</f>
        <v>-0.33339890065458</v>
      </c>
      <c r="R108" s="42"/>
      <c r="S108" s="43">
        <f>R107/L103-1</f>
        <v>-0.335888581078517</v>
      </c>
      <c r="T108" s="42"/>
      <c r="U108" s="43">
        <f>T107/M103-1</f>
        <v>-0.324324324324324</v>
      </c>
      <c r="V108" s="12"/>
      <c r="W108" s="12"/>
      <c r="X108" s="12"/>
    </row>
    <row r="109" s="2" customFormat="1" customHeight="1" spans="1:40">
      <c r="A109" s="5"/>
      <c r="B109" s="77"/>
      <c r="C109" s="77"/>
      <c r="D109" s="77"/>
      <c r="E109" s="77"/>
      <c r="F109" s="78"/>
      <c r="G109" s="78"/>
      <c r="H109" s="79"/>
      <c r="I109" s="79"/>
      <c r="J109" s="79"/>
      <c r="K109" s="79"/>
      <c r="L109" s="83"/>
      <c r="M109" s="83"/>
      <c r="N109" s="83"/>
      <c r="O109" s="83"/>
      <c r="P109" s="83"/>
      <c r="Q109" s="83"/>
      <c r="R109" s="5"/>
      <c r="S109" s="5"/>
      <c r="T109" s="5"/>
      <c r="U109" s="8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</row>
    <row r="110" s="2" customFormat="1" customHeight="1" spans="1:40">
      <c r="A110" s="5"/>
      <c r="B110" s="9" t="s">
        <v>14</v>
      </c>
      <c r="C110" s="9"/>
      <c r="D110" s="9"/>
      <c r="E110" s="9"/>
      <c r="F110" s="10"/>
      <c r="G110" s="10"/>
      <c r="H110" s="11"/>
      <c r="I110" s="11"/>
      <c r="J110" s="11" t="s">
        <v>15</v>
      </c>
      <c r="K110" s="11" t="s">
        <v>16</v>
      </c>
      <c r="L110" s="39" t="s">
        <v>17</v>
      </c>
      <c r="M110" s="39"/>
      <c r="N110" s="39" t="s">
        <v>18</v>
      </c>
      <c r="O110" s="39"/>
      <c r="P110" s="39" t="s">
        <v>19</v>
      </c>
      <c r="Q110" s="39"/>
      <c r="R110" s="39" t="s">
        <v>20</v>
      </c>
      <c r="S110" s="39"/>
      <c r="T110" s="39" t="s">
        <v>21</v>
      </c>
      <c r="U110" s="39"/>
      <c r="V110" s="24" t="s">
        <v>134</v>
      </c>
      <c r="W110" s="24"/>
      <c r="X110" s="24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</row>
    <row r="111" s="2" customFormat="1" customHeight="1" spans="1:40">
      <c r="A111" s="5"/>
      <c r="B111" s="9"/>
      <c r="C111" s="9"/>
      <c r="D111" s="9"/>
      <c r="E111" s="9"/>
      <c r="F111" s="10"/>
      <c r="G111" s="10"/>
      <c r="H111" s="11"/>
      <c r="I111" s="11"/>
      <c r="J111" s="11"/>
      <c r="K111" s="11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24"/>
      <c r="W111" s="24"/>
      <c r="X111" s="24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</row>
    <row r="112" s="2" customFormat="1" customHeight="1" spans="1:40">
      <c r="A112" s="5"/>
      <c r="B112" s="12" t="s">
        <v>216</v>
      </c>
      <c r="C112" s="12"/>
      <c r="D112" s="12"/>
      <c r="E112" s="12"/>
      <c r="F112" s="13"/>
      <c r="G112" s="13"/>
      <c r="H112" s="12"/>
      <c r="I112" s="12"/>
      <c r="J112" s="12" t="s">
        <v>217</v>
      </c>
      <c r="K112" s="12" t="s">
        <v>218</v>
      </c>
      <c r="L112" s="42">
        <v>4500</v>
      </c>
      <c r="M112" s="41" t="s">
        <v>26</v>
      </c>
      <c r="N112" s="42">
        <v>8</v>
      </c>
      <c r="O112" s="41" t="s">
        <v>26</v>
      </c>
      <c r="P112" s="42">
        <v>74800</v>
      </c>
      <c r="Q112" s="41" t="s">
        <v>26</v>
      </c>
      <c r="R112" s="42">
        <v>8880</v>
      </c>
      <c r="S112" s="41" t="s">
        <v>26</v>
      </c>
      <c r="T112" s="42">
        <v>530</v>
      </c>
      <c r="U112" s="41" t="s">
        <v>26</v>
      </c>
      <c r="V112" s="24" t="s">
        <v>219</v>
      </c>
      <c r="W112" s="24"/>
      <c r="X112" s="24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</row>
    <row r="113" s="2" customFormat="1" customHeight="1" spans="1:40">
      <c r="A113" s="5"/>
      <c r="B113" s="12"/>
      <c r="C113" s="12"/>
      <c r="D113" s="12"/>
      <c r="E113" s="12"/>
      <c r="F113" s="13"/>
      <c r="G113" s="13"/>
      <c r="H113" s="12"/>
      <c r="I113" s="12"/>
      <c r="J113" s="12"/>
      <c r="K113" s="12"/>
      <c r="L113" s="42"/>
      <c r="M113" s="43">
        <f>J117/L112-1</f>
        <v>-0.0975111111111111</v>
      </c>
      <c r="N113" s="42"/>
      <c r="O113" s="43">
        <f>E117/N112-1</f>
        <v>-0.5</v>
      </c>
      <c r="P113" s="42"/>
      <c r="Q113" s="43">
        <f>K117/P112-1</f>
        <v>0.221978609625668</v>
      </c>
      <c r="R113" s="42"/>
      <c r="S113" s="43">
        <f>L117/R112-1</f>
        <v>1.47443693693694</v>
      </c>
      <c r="T113" s="42"/>
      <c r="U113" s="43">
        <f>M117/T112-1</f>
        <v>1.44905660377359</v>
      </c>
      <c r="V113" s="24"/>
      <c r="W113" s="24"/>
      <c r="X113" s="24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</row>
    <row r="114" s="2" customFormat="1" customHeight="1" spans="1:40">
      <c r="A114" s="5"/>
      <c r="B114" s="14" t="s">
        <v>28</v>
      </c>
      <c r="C114" s="14" t="s">
        <v>29</v>
      </c>
      <c r="D114" s="14" t="s">
        <v>30</v>
      </c>
      <c r="E114" s="14" t="s">
        <v>31</v>
      </c>
      <c r="F114" s="15" t="s">
        <v>32</v>
      </c>
      <c r="G114" s="15" t="s">
        <v>33</v>
      </c>
      <c r="H114" s="14"/>
      <c r="I114" s="14"/>
      <c r="J114" s="44" t="s">
        <v>34</v>
      </c>
      <c r="K114" s="44" t="s">
        <v>35</v>
      </c>
      <c r="L114" s="44" t="s">
        <v>36</v>
      </c>
      <c r="M114" s="44" t="s">
        <v>37</v>
      </c>
      <c r="N114" s="45" t="s">
        <v>38</v>
      </c>
      <c r="O114" s="45" t="s">
        <v>39</v>
      </c>
      <c r="P114" s="45" t="s">
        <v>40</v>
      </c>
      <c r="Q114" s="45" t="s">
        <v>41</v>
      </c>
      <c r="R114" s="45" t="s">
        <v>42</v>
      </c>
      <c r="S114" s="45" t="s">
        <v>43</v>
      </c>
      <c r="T114" s="91" t="s">
        <v>44</v>
      </c>
      <c r="U114" s="92" t="s">
        <v>45</v>
      </c>
      <c r="V114" s="65" t="s">
        <v>46</v>
      </c>
      <c r="W114" s="65" t="s">
        <v>47</v>
      </c>
      <c r="X114" s="65" t="s">
        <v>48</v>
      </c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</row>
    <row r="115" s="2" customFormat="1" customHeight="1" spans="1:40">
      <c r="A115" s="5"/>
      <c r="B115" s="12" t="s">
        <v>49</v>
      </c>
      <c r="C115" s="12">
        <v>10000</v>
      </c>
      <c r="D115" s="12" t="s">
        <v>218</v>
      </c>
      <c r="E115" s="12">
        <v>5</v>
      </c>
      <c r="F115" s="13">
        <v>5000</v>
      </c>
      <c r="G115" s="13">
        <v>5000</v>
      </c>
      <c r="H115" s="12"/>
      <c r="I115" s="17"/>
      <c r="J115" s="13">
        <v>4346.3</v>
      </c>
      <c r="K115" s="13">
        <v>52767</v>
      </c>
      <c r="L115" s="13">
        <v>10472</v>
      </c>
      <c r="M115" s="13">
        <v>715</v>
      </c>
      <c r="N115" s="81">
        <v>0.0683</v>
      </c>
      <c r="O115" s="13">
        <v>340</v>
      </c>
      <c r="P115" s="84">
        <v>0.42</v>
      </c>
      <c r="Q115" s="84">
        <v>6.08</v>
      </c>
      <c r="R115" s="13">
        <v>1548</v>
      </c>
      <c r="S115" s="84">
        <v>2.84</v>
      </c>
      <c r="T115" s="34">
        <v>0</v>
      </c>
      <c r="U115" s="66">
        <v>0</v>
      </c>
      <c r="V115" s="68">
        <v>0.8</v>
      </c>
      <c r="W115" s="68">
        <v>0.2</v>
      </c>
      <c r="X115" s="24">
        <f>E115</f>
        <v>5</v>
      </c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</row>
    <row r="116" s="2" customFormat="1" customHeight="1" spans="2:40">
      <c r="B116" s="12" t="s">
        <v>50</v>
      </c>
      <c r="C116" s="12">
        <v>12000</v>
      </c>
      <c r="D116" s="12" t="s">
        <v>218</v>
      </c>
      <c r="E116" s="12">
        <v>6</v>
      </c>
      <c r="F116" s="13">
        <v>6000</v>
      </c>
      <c r="G116" s="13">
        <v>6000</v>
      </c>
      <c r="H116" s="12"/>
      <c r="I116" s="12"/>
      <c r="J116" s="30">
        <v>6339.6</v>
      </c>
      <c r="K116" s="30">
        <v>100013</v>
      </c>
      <c r="L116" s="40">
        <v>11893</v>
      </c>
      <c r="M116" s="40">
        <v>729</v>
      </c>
      <c r="N116" s="49">
        <v>0.0612965610022702</v>
      </c>
      <c r="O116" s="40">
        <v>341</v>
      </c>
      <c r="P116" s="50">
        <v>0.533053056419743</v>
      </c>
      <c r="Q116" s="50">
        <v>8.6962962962963</v>
      </c>
      <c r="R116" s="40">
        <v>4668</v>
      </c>
      <c r="S116" s="50">
        <v>1.87271636675236</v>
      </c>
      <c r="T116" s="12">
        <v>0</v>
      </c>
      <c r="U116" s="66">
        <v>0</v>
      </c>
      <c r="V116" s="46">
        <v>1</v>
      </c>
      <c r="W116" s="46">
        <v>0</v>
      </c>
      <c r="X116" s="12">
        <v>6</v>
      </c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</row>
    <row r="117" s="2" customFormat="1" customHeight="1" spans="1:40">
      <c r="A117" s="5"/>
      <c r="B117" s="12" t="s">
        <v>51</v>
      </c>
      <c r="C117" s="12"/>
      <c r="D117" s="12" t="s">
        <v>218</v>
      </c>
      <c r="E117" s="12">
        <v>4</v>
      </c>
      <c r="F117" s="13">
        <v>4500</v>
      </c>
      <c r="G117" s="13">
        <v>4500</v>
      </c>
      <c r="H117" s="12"/>
      <c r="I117" s="12"/>
      <c r="J117" s="30">
        <v>4061.2</v>
      </c>
      <c r="K117" s="30">
        <v>91404</v>
      </c>
      <c r="L117" s="40">
        <v>21973</v>
      </c>
      <c r="M117" s="40">
        <v>1298</v>
      </c>
      <c r="N117" s="49">
        <v>0.059072498065808</v>
      </c>
      <c r="O117" s="40">
        <v>614</v>
      </c>
      <c r="P117" s="61">
        <v>0.184826832931325</v>
      </c>
      <c r="Q117" s="61">
        <v>3.12881355932203</v>
      </c>
      <c r="R117" s="40">
        <v>2965</v>
      </c>
      <c r="S117" s="50">
        <v>1.36971332209106</v>
      </c>
      <c r="T117" s="12">
        <v>0</v>
      </c>
      <c r="U117" s="66">
        <v>0</v>
      </c>
      <c r="V117" s="46">
        <v>1</v>
      </c>
      <c r="W117" s="46">
        <v>0</v>
      </c>
      <c r="X117" s="24">
        <v>4</v>
      </c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</row>
    <row r="118" s="2" customFormat="1" customHeight="1" spans="1:40">
      <c r="A118" s="5"/>
      <c r="B118" s="9" t="s">
        <v>53</v>
      </c>
      <c r="C118" s="9"/>
      <c r="D118" s="9"/>
      <c r="E118" s="9"/>
      <c r="F118" s="18"/>
      <c r="G118" s="18"/>
      <c r="H118" s="9"/>
      <c r="I118" s="9"/>
      <c r="J118" s="9" t="s">
        <v>54</v>
      </c>
      <c r="K118" s="9"/>
      <c r="L118" s="11" t="s">
        <v>31</v>
      </c>
      <c r="M118" s="11"/>
      <c r="N118" s="11" t="s">
        <v>35</v>
      </c>
      <c r="O118" s="11"/>
      <c r="P118" s="11" t="s">
        <v>36</v>
      </c>
      <c r="Q118" s="11"/>
      <c r="R118" s="11" t="s">
        <v>37</v>
      </c>
      <c r="S118" s="11"/>
      <c r="T118" s="9" t="s">
        <v>46</v>
      </c>
      <c r="U118" s="9" t="s">
        <v>47</v>
      </c>
      <c r="V118" s="24" t="s">
        <v>55</v>
      </c>
      <c r="W118" s="24"/>
      <c r="X118" s="24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</row>
    <row r="119" s="2" customFormat="1" customHeight="1" spans="1:40">
      <c r="A119" s="5"/>
      <c r="B119" s="12" t="s">
        <v>56</v>
      </c>
      <c r="C119" s="12" t="s">
        <v>57</v>
      </c>
      <c r="D119" s="12"/>
      <c r="E119" s="12" t="s">
        <v>58</v>
      </c>
      <c r="F119" s="19" t="s">
        <v>59</v>
      </c>
      <c r="G119" s="19" t="s">
        <v>60</v>
      </c>
      <c r="H119" s="20" t="s">
        <v>61</v>
      </c>
      <c r="I119" s="20" t="s">
        <v>62</v>
      </c>
      <c r="J119" s="12">
        <f>J126</f>
        <v>4061.2</v>
      </c>
      <c r="K119" s="53" t="s">
        <v>63</v>
      </c>
      <c r="L119" s="12">
        <v>4</v>
      </c>
      <c r="M119" s="53" t="s">
        <v>63</v>
      </c>
      <c r="N119" s="12">
        <f>K126</f>
        <v>91404</v>
      </c>
      <c r="O119" s="53" t="s">
        <v>63</v>
      </c>
      <c r="P119" s="12">
        <f>L126</f>
        <v>21973</v>
      </c>
      <c r="Q119" s="53" t="s">
        <v>63</v>
      </c>
      <c r="R119" s="42">
        <f>M126</f>
        <v>1298</v>
      </c>
      <c r="S119" s="53" t="s">
        <v>63</v>
      </c>
      <c r="T119" s="46">
        <v>1</v>
      </c>
      <c r="U119" s="93">
        <v>0</v>
      </c>
      <c r="V119" s="24"/>
      <c r="W119" s="24"/>
      <c r="X119" s="24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</row>
    <row r="120" s="2" customFormat="1" customHeight="1" spans="1:40">
      <c r="A120" s="5"/>
      <c r="B120" s="12"/>
      <c r="C120" s="12"/>
      <c r="D120" s="12"/>
      <c r="E120" s="12"/>
      <c r="F120" s="19"/>
      <c r="G120" s="19"/>
      <c r="H120" s="20"/>
      <c r="I120" s="20"/>
      <c r="J120" s="12"/>
      <c r="K120" s="43">
        <f>J119/J116-1</f>
        <v>-0.359391759732475</v>
      </c>
      <c r="L120" s="12"/>
      <c r="M120" s="43">
        <f>L119/E116-1</f>
        <v>-0.333333333333333</v>
      </c>
      <c r="N120" s="12"/>
      <c r="O120" s="43">
        <f>N119/K116-1</f>
        <v>-0.0860788097547319</v>
      </c>
      <c r="P120" s="12"/>
      <c r="Q120" s="43">
        <f>P119/L116-1</f>
        <v>0.847557386698058</v>
      </c>
      <c r="R120" s="12"/>
      <c r="S120" s="43">
        <f>R119/M116-1</f>
        <v>0.780521262002744</v>
      </c>
      <c r="T120" s="12"/>
      <c r="U120" s="53"/>
      <c r="V120" s="24"/>
      <c r="W120" s="24"/>
      <c r="X120" s="24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</row>
    <row r="121" s="2" customFormat="1" customHeight="1" spans="1:40">
      <c r="A121" s="5"/>
      <c r="B121" s="12"/>
      <c r="C121" s="12"/>
      <c r="D121" s="12"/>
      <c r="E121" s="12"/>
      <c r="F121" s="19"/>
      <c r="G121" s="19"/>
      <c r="H121" s="20"/>
      <c r="I121" s="20"/>
      <c r="J121" s="54" t="s">
        <v>34</v>
      </c>
      <c r="K121" s="55" t="s">
        <v>35</v>
      </c>
      <c r="L121" s="55" t="s">
        <v>36</v>
      </c>
      <c r="M121" s="55" t="s">
        <v>37</v>
      </c>
      <c r="N121" s="55" t="s">
        <v>38</v>
      </c>
      <c r="O121" s="56" t="s">
        <v>39</v>
      </c>
      <c r="P121" s="55" t="s">
        <v>40</v>
      </c>
      <c r="Q121" s="55" t="s">
        <v>41</v>
      </c>
      <c r="R121" s="54" t="s">
        <v>42</v>
      </c>
      <c r="S121" s="54" t="s">
        <v>43</v>
      </c>
      <c r="T121" s="55" t="s">
        <v>64</v>
      </c>
      <c r="U121" s="55" t="s">
        <v>65</v>
      </c>
      <c r="V121" s="24" t="s">
        <v>220</v>
      </c>
      <c r="W121" s="12"/>
      <c r="X121" s="12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</row>
    <row r="122" s="2" customFormat="1" customHeight="1" spans="1:40">
      <c r="A122" s="5"/>
      <c r="B122" s="21" t="s">
        <v>218</v>
      </c>
      <c r="C122" s="12" t="s">
        <v>74</v>
      </c>
      <c r="D122" s="12" t="s">
        <v>68</v>
      </c>
      <c r="E122" s="12" t="s">
        <v>221</v>
      </c>
      <c r="F122" s="13" t="s">
        <v>222</v>
      </c>
      <c r="G122" s="13" t="s">
        <v>223</v>
      </c>
      <c r="H122" s="22">
        <v>45457</v>
      </c>
      <c r="I122" s="13">
        <v>0</v>
      </c>
      <c r="J122" s="12">
        <v>704</v>
      </c>
      <c r="K122" s="13">
        <v>10505</v>
      </c>
      <c r="L122" s="13">
        <v>3595</v>
      </c>
      <c r="M122" s="13">
        <v>170</v>
      </c>
      <c r="N122" s="46">
        <f t="shared" ref="N122:N142" si="24">M122/L122</f>
        <v>0.0472878998609179</v>
      </c>
      <c r="O122" s="13">
        <v>68</v>
      </c>
      <c r="P122" s="47">
        <f t="shared" ref="P122:P142" si="25">J122/L122</f>
        <v>0.195827538247566</v>
      </c>
      <c r="Q122" s="47">
        <f t="shared" ref="Q122:Q142" si="26">J122/M122</f>
        <v>4.14117647058824</v>
      </c>
      <c r="R122" s="13">
        <v>32</v>
      </c>
      <c r="S122" s="13">
        <v>22</v>
      </c>
      <c r="T122" s="12" t="s">
        <v>72</v>
      </c>
      <c r="U122" s="12" t="s">
        <v>78</v>
      </c>
      <c r="V122" s="12"/>
      <c r="W122" s="12"/>
      <c r="X122" s="12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</row>
    <row r="123" s="2" customFormat="1" customHeight="1" spans="1:40">
      <c r="A123" s="5"/>
      <c r="B123" s="23"/>
      <c r="C123" s="12" t="s">
        <v>74</v>
      </c>
      <c r="D123" s="12"/>
      <c r="E123" s="12" t="s">
        <v>224</v>
      </c>
      <c r="F123" s="13" t="s">
        <v>225</v>
      </c>
      <c r="G123" s="13" t="s">
        <v>226</v>
      </c>
      <c r="H123" s="22">
        <v>45450</v>
      </c>
      <c r="I123" s="13">
        <v>0</v>
      </c>
      <c r="J123" s="12">
        <v>1760</v>
      </c>
      <c r="K123" s="13">
        <v>30289</v>
      </c>
      <c r="L123" s="13">
        <v>9448</v>
      </c>
      <c r="M123" s="13">
        <v>673</v>
      </c>
      <c r="N123" s="46">
        <f t="shared" si="24"/>
        <v>0.0712320067739204</v>
      </c>
      <c r="O123" s="13">
        <v>333</v>
      </c>
      <c r="P123" s="47">
        <f t="shared" si="25"/>
        <v>0.186282811176969</v>
      </c>
      <c r="Q123" s="47">
        <f t="shared" si="26"/>
        <v>2.61515601783061</v>
      </c>
      <c r="R123" s="13">
        <v>118</v>
      </c>
      <c r="S123" s="13">
        <v>14.92</v>
      </c>
      <c r="T123" s="12" t="s">
        <v>72</v>
      </c>
      <c r="U123" s="12" t="s">
        <v>147</v>
      </c>
      <c r="V123" s="12"/>
      <c r="W123" s="12"/>
      <c r="X123" s="12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 s="2" customFormat="1" customHeight="1" spans="1:40">
      <c r="A124" s="5"/>
      <c r="B124" s="23"/>
      <c r="C124" s="12" t="s">
        <v>74</v>
      </c>
      <c r="D124" s="12"/>
      <c r="E124" s="12" t="s">
        <v>227</v>
      </c>
      <c r="F124" s="13" t="s">
        <v>228</v>
      </c>
      <c r="G124" s="13" t="s">
        <v>229</v>
      </c>
      <c r="H124" s="22">
        <v>45446</v>
      </c>
      <c r="I124" s="13">
        <v>0</v>
      </c>
      <c r="J124" s="12">
        <v>607.2</v>
      </c>
      <c r="K124" s="13">
        <v>38146</v>
      </c>
      <c r="L124" s="13">
        <v>7503</v>
      </c>
      <c r="M124" s="13">
        <v>290</v>
      </c>
      <c r="N124" s="46">
        <f t="shared" si="24"/>
        <v>0.038651206184193</v>
      </c>
      <c r="O124" s="13">
        <v>138</v>
      </c>
      <c r="P124" s="47">
        <f t="shared" si="25"/>
        <v>0.0809276289484206</v>
      </c>
      <c r="Q124" s="47">
        <f t="shared" si="26"/>
        <v>2.09379310344828</v>
      </c>
      <c r="R124" s="71">
        <v>2240</v>
      </c>
      <c r="S124" s="13">
        <v>0.27</v>
      </c>
      <c r="T124" s="12" t="s">
        <v>72</v>
      </c>
      <c r="U124" s="12" t="s">
        <v>230</v>
      </c>
      <c r="V124" s="12"/>
      <c r="W124" s="12"/>
      <c r="X124" s="12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 s="2" customFormat="1" customHeight="1" spans="1:40">
      <c r="A125" s="5"/>
      <c r="B125" s="23"/>
      <c r="C125" s="12" t="s">
        <v>74</v>
      </c>
      <c r="D125" s="12"/>
      <c r="E125" s="12" t="s">
        <v>231</v>
      </c>
      <c r="F125" s="13" t="s">
        <v>232</v>
      </c>
      <c r="G125" s="13" t="s">
        <v>233</v>
      </c>
      <c r="H125" s="22">
        <v>45444</v>
      </c>
      <c r="I125" s="13">
        <v>0</v>
      </c>
      <c r="J125" s="12">
        <v>990</v>
      </c>
      <c r="K125" s="13">
        <v>12464</v>
      </c>
      <c r="L125" s="13">
        <v>1427</v>
      </c>
      <c r="M125" s="13">
        <v>165</v>
      </c>
      <c r="N125" s="46">
        <f t="shared" si="24"/>
        <v>0.1156271899089</v>
      </c>
      <c r="O125" s="13">
        <v>75</v>
      </c>
      <c r="P125" s="47">
        <f t="shared" si="25"/>
        <v>0.693763139453399</v>
      </c>
      <c r="Q125" s="47">
        <f t="shared" si="26"/>
        <v>6</v>
      </c>
      <c r="R125" s="13">
        <v>575</v>
      </c>
      <c r="S125" s="13">
        <v>1.72</v>
      </c>
      <c r="T125" s="12" t="s">
        <v>72</v>
      </c>
      <c r="U125" s="12" t="s">
        <v>230</v>
      </c>
      <c r="V125" s="12"/>
      <c r="W125" s="12"/>
      <c r="X125" s="12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</row>
    <row r="126" s="2" customFormat="1" customHeight="1" spans="1:40">
      <c r="A126" s="5"/>
      <c r="B126" s="23"/>
      <c r="C126" s="26"/>
      <c r="D126" s="27" t="s">
        <v>99</v>
      </c>
      <c r="E126" s="26"/>
      <c r="F126" s="28"/>
      <c r="G126" s="28"/>
      <c r="H126" s="29"/>
      <c r="I126" s="27">
        <f t="shared" ref="I126:M126" si="27">SUM(I122:I125)</f>
        <v>0</v>
      </c>
      <c r="J126" s="27">
        <f t="shared" si="27"/>
        <v>4061.2</v>
      </c>
      <c r="K126" s="27">
        <f t="shared" si="27"/>
        <v>91404</v>
      </c>
      <c r="L126" s="27">
        <f t="shared" si="27"/>
        <v>21973</v>
      </c>
      <c r="M126" s="27">
        <f t="shared" si="27"/>
        <v>1298</v>
      </c>
      <c r="N126" s="59">
        <f t="shared" si="24"/>
        <v>0.059072498065808</v>
      </c>
      <c r="O126" s="27">
        <f>SUM(O122:O125)</f>
        <v>614</v>
      </c>
      <c r="P126" s="60">
        <f t="shared" si="25"/>
        <v>0.184826832931325</v>
      </c>
      <c r="Q126" s="60">
        <f t="shared" si="26"/>
        <v>3.12881355932203</v>
      </c>
      <c r="R126" s="27">
        <f>SUM(R122:R125)</f>
        <v>2965</v>
      </c>
      <c r="S126" s="60">
        <f>(J126+I126)/R126</f>
        <v>1.36971332209106</v>
      </c>
      <c r="T126" s="26"/>
      <c r="U126" s="26"/>
      <c r="V126" s="12"/>
      <c r="W126" s="12"/>
      <c r="X126" s="12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</row>
    <row r="127" s="2" customFormat="1" customHeight="1" spans="1:40">
      <c r="A127" s="5"/>
      <c r="B127" s="23"/>
      <c r="C127" s="12" t="s">
        <v>74</v>
      </c>
      <c r="D127" s="12" t="s">
        <v>100</v>
      </c>
      <c r="E127" s="12" t="s">
        <v>234</v>
      </c>
      <c r="F127" s="13" t="s">
        <v>235</v>
      </c>
      <c r="G127" s="13" t="s">
        <v>52</v>
      </c>
      <c r="H127" s="22" t="s">
        <v>52</v>
      </c>
      <c r="I127" s="12"/>
      <c r="J127" s="13">
        <v>58</v>
      </c>
      <c r="K127" s="13">
        <v>3833</v>
      </c>
      <c r="L127" s="13">
        <v>397</v>
      </c>
      <c r="M127" s="13">
        <v>31</v>
      </c>
      <c r="N127" s="46">
        <f t="shared" si="24"/>
        <v>0.0780856423173804</v>
      </c>
      <c r="O127" s="13">
        <v>19</v>
      </c>
      <c r="P127" s="47">
        <f t="shared" si="25"/>
        <v>0.146095717884131</v>
      </c>
      <c r="Q127" s="47">
        <f t="shared" si="26"/>
        <v>1.87096774193548</v>
      </c>
      <c r="R127" s="72" t="s">
        <v>52</v>
      </c>
      <c r="S127" s="72" t="s">
        <v>52</v>
      </c>
      <c r="T127" s="12"/>
      <c r="U127" s="12"/>
      <c r="V127" s="12"/>
      <c r="W127" s="12"/>
      <c r="X127" s="12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</row>
    <row r="128" s="2" customFormat="1" customHeight="1" spans="1:40">
      <c r="A128" s="5"/>
      <c r="B128" s="23"/>
      <c r="C128" s="12" t="s">
        <v>74</v>
      </c>
      <c r="D128" s="12"/>
      <c r="E128" s="12" t="s">
        <v>234</v>
      </c>
      <c r="F128" s="13" t="s">
        <v>235</v>
      </c>
      <c r="G128" s="13"/>
      <c r="H128" s="22"/>
      <c r="I128" s="12"/>
      <c r="J128" s="13">
        <v>3275</v>
      </c>
      <c r="K128" s="13">
        <v>177605</v>
      </c>
      <c r="L128" s="13">
        <v>18018</v>
      </c>
      <c r="M128" s="13">
        <v>1569</v>
      </c>
      <c r="N128" s="46">
        <f t="shared" si="24"/>
        <v>0.0870795870795871</v>
      </c>
      <c r="O128" s="13">
        <v>896</v>
      </c>
      <c r="P128" s="47">
        <f t="shared" si="25"/>
        <v>0.181762681762682</v>
      </c>
      <c r="Q128" s="47">
        <f t="shared" si="26"/>
        <v>2.08731676226896</v>
      </c>
      <c r="R128" s="72"/>
      <c r="S128" s="72"/>
      <c r="T128" s="12"/>
      <c r="U128" s="12"/>
      <c r="V128" s="12"/>
      <c r="W128" s="12"/>
      <c r="X128" s="12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 s="2" customFormat="1" customHeight="1" spans="1:40">
      <c r="A129" s="5"/>
      <c r="B129" s="23"/>
      <c r="C129" s="12" t="s">
        <v>74</v>
      </c>
      <c r="D129" s="12"/>
      <c r="E129" s="12" t="s">
        <v>236</v>
      </c>
      <c r="F129" s="13" t="s">
        <v>237</v>
      </c>
      <c r="G129" s="13"/>
      <c r="H129" s="22"/>
      <c r="I129" s="12"/>
      <c r="J129" s="13">
        <v>169</v>
      </c>
      <c r="K129" s="13">
        <v>7297</v>
      </c>
      <c r="L129" s="13">
        <v>734</v>
      </c>
      <c r="M129" s="13">
        <v>74</v>
      </c>
      <c r="N129" s="46">
        <f t="shared" si="24"/>
        <v>0.100817438692098</v>
      </c>
      <c r="O129" s="13">
        <v>38</v>
      </c>
      <c r="P129" s="47">
        <f t="shared" si="25"/>
        <v>0.230245231607629</v>
      </c>
      <c r="Q129" s="47">
        <f t="shared" si="26"/>
        <v>2.28378378378378</v>
      </c>
      <c r="R129" s="72"/>
      <c r="S129" s="72"/>
      <c r="T129" s="12"/>
      <c r="U129" s="12"/>
      <c r="V129" s="12"/>
      <c r="W129" s="12"/>
      <c r="X129" s="12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 s="2" customFormat="1" customHeight="1" spans="1:40">
      <c r="A130" s="5"/>
      <c r="B130" s="23"/>
      <c r="C130" s="12" t="s">
        <v>74</v>
      </c>
      <c r="D130" s="12"/>
      <c r="E130" s="12" t="s">
        <v>238</v>
      </c>
      <c r="F130" s="13" t="s">
        <v>239</v>
      </c>
      <c r="G130" s="13"/>
      <c r="H130" s="22"/>
      <c r="I130" s="12"/>
      <c r="J130" s="13">
        <v>19</v>
      </c>
      <c r="K130" s="13">
        <v>3570</v>
      </c>
      <c r="L130" s="13">
        <v>1017</v>
      </c>
      <c r="M130" s="13">
        <v>12</v>
      </c>
      <c r="N130" s="46">
        <f t="shared" si="24"/>
        <v>0.0117994100294985</v>
      </c>
      <c r="O130" s="13">
        <v>8</v>
      </c>
      <c r="P130" s="47">
        <f t="shared" si="25"/>
        <v>0.0186823992133727</v>
      </c>
      <c r="Q130" s="47">
        <f t="shared" si="26"/>
        <v>1.58333333333333</v>
      </c>
      <c r="R130" s="72"/>
      <c r="S130" s="72"/>
      <c r="T130" s="12"/>
      <c r="U130" s="12"/>
      <c r="V130" s="12"/>
      <c r="W130" s="12"/>
      <c r="X130" s="12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</row>
    <row r="131" s="2" customFormat="1" customHeight="1" spans="1:40">
      <c r="A131" s="5"/>
      <c r="B131" s="23"/>
      <c r="C131" s="12" t="s">
        <v>74</v>
      </c>
      <c r="D131" s="12"/>
      <c r="E131" s="12" t="s">
        <v>240</v>
      </c>
      <c r="F131" s="13" t="s">
        <v>241</v>
      </c>
      <c r="G131" s="13"/>
      <c r="H131" s="22"/>
      <c r="I131" s="9"/>
      <c r="J131" s="13">
        <v>993</v>
      </c>
      <c r="K131" s="13">
        <v>89089</v>
      </c>
      <c r="L131" s="13">
        <v>13416</v>
      </c>
      <c r="M131" s="13">
        <v>539</v>
      </c>
      <c r="N131" s="46">
        <f t="shared" si="24"/>
        <v>0.0401759093619559</v>
      </c>
      <c r="O131" s="13">
        <v>294</v>
      </c>
      <c r="P131" s="47">
        <f t="shared" si="25"/>
        <v>0.0740161001788909</v>
      </c>
      <c r="Q131" s="47">
        <f t="shared" si="26"/>
        <v>1.84230055658627</v>
      </c>
      <c r="R131" s="72"/>
      <c r="S131" s="72"/>
      <c r="T131" s="9"/>
      <c r="U131" s="9"/>
      <c r="V131" s="12"/>
      <c r="W131" s="12"/>
      <c r="X131" s="12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</row>
    <row r="132" s="2" customFormat="1" customHeight="1" spans="1:40">
      <c r="A132" s="5"/>
      <c r="B132" s="23"/>
      <c r="C132" s="12" t="s">
        <v>74</v>
      </c>
      <c r="D132" s="12"/>
      <c r="E132" s="12" t="s">
        <v>240</v>
      </c>
      <c r="F132" s="13" t="s">
        <v>241</v>
      </c>
      <c r="G132" s="13"/>
      <c r="H132" s="22"/>
      <c r="I132" s="9"/>
      <c r="J132" s="13">
        <v>121</v>
      </c>
      <c r="K132" s="13">
        <v>8968</v>
      </c>
      <c r="L132" s="13">
        <v>1493</v>
      </c>
      <c r="M132" s="13">
        <v>82</v>
      </c>
      <c r="N132" s="46">
        <f t="shared" si="24"/>
        <v>0.0549229738780978</v>
      </c>
      <c r="O132" s="13">
        <v>40</v>
      </c>
      <c r="P132" s="47">
        <f t="shared" si="25"/>
        <v>0.0810448760884126</v>
      </c>
      <c r="Q132" s="47">
        <f t="shared" si="26"/>
        <v>1.47560975609756</v>
      </c>
      <c r="R132" s="72"/>
      <c r="S132" s="72"/>
      <c r="T132" s="9"/>
      <c r="U132" s="9"/>
      <c r="V132" s="12"/>
      <c r="W132" s="12"/>
      <c r="X132" s="12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</row>
    <row r="133" s="2" customFormat="1" customHeight="1" spans="1:40">
      <c r="A133" s="5"/>
      <c r="B133" s="23"/>
      <c r="C133" s="12" t="s">
        <v>74</v>
      </c>
      <c r="D133" s="12"/>
      <c r="E133" s="12" t="s">
        <v>240</v>
      </c>
      <c r="F133" s="13" t="s">
        <v>241</v>
      </c>
      <c r="G133" s="13"/>
      <c r="H133" s="22"/>
      <c r="I133" s="9"/>
      <c r="J133" s="13">
        <v>329</v>
      </c>
      <c r="K133" s="13">
        <v>4094</v>
      </c>
      <c r="L133" s="13">
        <v>312</v>
      </c>
      <c r="M133" s="13">
        <v>71</v>
      </c>
      <c r="N133" s="46">
        <f t="shared" si="24"/>
        <v>0.227564102564103</v>
      </c>
      <c r="O133" s="13">
        <v>53</v>
      </c>
      <c r="P133" s="47">
        <f t="shared" si="25"/>
        <v>1.05448717948718</v>
      </c>
      <c r="Q133" s="47">
        <f t="shared" si="26"/>
        <v>4.63380281690141</v>
      </c>
      <c r="R133" s="72"/>
      <c r="S133" s="72"/>
      <c r="T133" s="9"/>
      <c r="U133" s="9"/>
      <c r="V133" s="12"/>
      <c r="W133" s="12"/>
      <c r="X133" s="12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</row>
    <row r="134" s="2" customFormat="1" customHeight="1" spans="1:40">
      <c r="A134" s="5"/>
      <c r="B134" s="23"/>
      <c r="C134" s="12" t="s">
        <v>74</v>
      </c>
      <c r="D134" s="12"/>
      <c r="E134" s="12" t="s">
        <v>242</v>
      </c>
      <c r="F134" s="13" t="s">
        <v>243</v>
      </c>
      <c r="G134" s="13"/>
      <c r="H134" s="22"/>
      <c r="I134" s="9"/>
      <c r="J134" s="13">
        <v>1</v>
      </c>
      <c r="K134" s="13">
        <v>3</v>
      </c>
      <c r="L134" s="13">
        <v>1</v>
      </c>
      <c r="M134" s="13">
        <v>0</v>
      </c>
      <c r="N134" s="46">
        <f t="shared" si="24"/>
        <v>0</v>
      </c>
      <c r="O134" s="13">
        <v>0</v>
      </c>
      <c r="P134" s="47">
        <f t="shared" si="25"/>
        <v>1</v>
      </c>
      <c r="Q134" s="47" t="e">
        <f t="shared" si="26"/>
        <v>#DIV/0!</v>
      </c>
      <c r="R134" s="72"/>
      <c r="S134" s="72"/>
      <c r="T134" s="9"/>
      <c r="U134" s="9"/>
      <c r="V134" s="12"/>
      <c r="W134" s="12"/>
      <c r="X134" s="12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</row>
    <row r="135" s="2" customFormat="1" customHeight="1" spans="1:40">
      <c r="A135" s="5"/>
      <c r="B135" s="23"/>
      <c r="C135" s="12" t="s">
        <v>74</v>
      </c>
      <c r="D135" s="12"/>
      <c r="E135" s="12" t="s">
        <v>244</v>
      </c>
      <c r="F135" s="13" t="s">
        <v>245</v>
      </c>
      <c r="G135" s="13"/>
      <c r="H135" s="22"/>
      <c r="I135" s="9"/>
      <c r="J135" s="13">
        <v>1753</v>
      </c>
      <c r="K135" s="13">
        <v>88228</v>
      </c>
      <c r="L135" s="13">
        <v>5943</v>
      </c>
      <c r="M135" s="13">
        <v>780</v>
      </c>
      <c r="N135" s="46">
        <f t="shared" si="24"/>
        <v>0.131246845027764</v>
      </c>
      <c r="O135" s="13">
        <v>397</v>
      </c>
      <c r="P135" s="47">
        <f t="shared" si="25"/>
        <v>0.294968870940602</v>
      </c>
      <c r="Q135" s="47">
        <f t="shared" si="26"/>
        <v>2.2474358974359</v>
      </c>
      <c r="R135" s="72"/>
      <c r="S135" s="72"/>
      <c r="T135" s="9"/>
      <c r="U135" s="9"/>
      <c r="V135" s="12"/>
      <c r="W135" s="12"/>
      <c r="X135" s="12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</row>
    <row r="136" s="2" customFormat="1" customHeight="1" spans="1:40">
      <c r="A136" s="5"/>
      <c r="B136" s="23"/>
      <c r="C136" s="12" t="s">
        <v>74</v>
      </c>
      <c r="D136" s="12"/>
      <c r="E136" s="12" t="s">
        <v>246</v>
      </c>
      <c r="F136" s="13" t="s">
        <v>247</v>
      </c>
      <c r="G136" s="13"/>
      <c r="H136" s="22"/>
      <c r="I136" s="9"/>
      <c r="J136" s="13">
        <v>34</v>
      </c>
      <c r="K136" s="13">
        <v>557</v>
      </c>
      <c r="L136" s="13">
        <v>53</v>
      </c>
      <c r="M136" s="13">
        <v>15</v>
      </c>
      <c r="N136" s="46">
        <f t="shared" si="24"/>
        <v>0.283018867924528</v>
      </c>
      <c r="O136" s="13">
        <v>5</v>
      </c>
      <c r="P136" s="47">
        <f t="shared" si="25"/>
        <v>0.641509433962264</v>
      </c>
      <c r="Q136" s="47">
        <f t="shared" si="26"/>
        <v>2.26666666666667</v>
      </c>
      <c r="R136" s="72"/>
      <c r="S136" s="72"/>
      <c r="T136" s="9"/>
      <c r="U136" s="9"/>
      <c r="V136" s="12"/>
      <c r="W136" s="12"/>
      <c r="X136" s="12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</row>
    <row r="137" s="2" customFormat="1" customHeight="1" spans="1:40">
      <c r="A137" s="5"/>
      <c r="B137" s="23"/>
      <c r="C137" s="12" t="s">
        <v>74</v>
      </c>
      <c r="D137" s="12"/>
      <c r="E137" s="12" t="s">
        <v>248</v>
      </c>
      <c r="F137" s="13" t="s">
        <v>249</v>
      </c>
      <c r="G137" s="13"/>
      <c r="H137" s="22"/>
      <c r="I137" s="9"/>
      <c r="J137" s="13">
        <v>8</v>
      </c>
      <c r="K137" s="13">
        <v>14</v>
      </c>
      <c r="L137" s="13">
        <v>2</v>
      </c>
      <c r="M137" s="13">
        <v>1</v>
      </c>
      <c r="N137" s="46">
        <f t="shared" si="24"/>
        <v>0.5</v>
      </c>
      <c r="O137" s="13">
        <v>0</v>
      </c>
      <c r="P137" s="47">
        <f t="shared" si="25"/>
        <v>4</v>
      </c>
      <c r="Q137" s="47">
        <f t="shared" si="26"/>
        <v>8</v>
      </c>
      <c r="R137" s="72"/>
      <c r="S137" s="72"/>
      <c r="T137" s="9"/>
      <c r="U137" s="9"/>
      <c r="V137" s="12"/>
      <c r="W137" s="12"/>
      <c r="X137" s="12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</row>
    <row r="138" s="2" customFormat="1" customHeight="1" spans="1:40">
      <c r="A138" s="5"/>
      <c r="B138" s="23"/>
      <c r="C138" s="12" t="s">
        <v>74</v>
      </c>
      <c r="D138" s="12"/>
      <c r="E138" s="12" t="s">
        <v>250</v>
      </c>
      <c r="F138" s="13" t="s">
        <v>251</v>
      </c>
      <c r="G138" s="13"/>
      <c r="H138" s="22"/>
      <c r="I138" s="9"/>
      <c r="J138" s="13">
        <v>80</v>
      </c>
      <c r="K138" s="13">
        <v>144</v>
      </c>
      <c r="L138" s="13">
        <v>15</v>
      </c>
      <c r="M138" s="13">
        <v>9</v>
      </c>
      <c r="N138" s="46">
        <f t="shared" si="24"/>
        <v>0.6</v>
      </c>
      <c r="O138" s="13">
        <v>4</v>
      </c>
      <c r="P138" s="47">
        <f t="shared" si="25"/>
        <v>5.33333333333333</v>
      </c>
      <c r="Q138" s="47">
        <f t="shared" si="26"/>
        <v>8.88888888888889</v>
      </c>
      <c r="R138" s="72"/>
      <c r="S138" s="72"/>
      <c r="T138" s="9"/>
      <c r="U138" s="9"/>
      <c r="V138" s="12"/>
      <c r="W138" s="12"/>
      <c r="X138" s="12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</row>
    <row r="139" s="2" customFormat="1" customHeight="1" spans="1:40">
      <c r="A139" s="5"/>
      <c r="B139" s="23"/>
      <c r="C139" s="12" t="s">
        <v>74</v>
      </c>
      <c r="D139" s="12"/>
      <c r="E139" s="12" t="s">
        <v>252</v>
      </c>
      <c r="F139" s="13" t="s">
        <v>253</v>
      </c>
      <c r="G139" s="13"/>
      <c r="H139" s="22"/>
      <c r="I139" s="9"/>
      <c r="J139" s="13">
        <v>48</v>
      </c>
      <c r="K139" s="13">
        <v>200</v>
      </c>
      <c r="L139" s="13">
        <v>17</v>
      </c>
      <c r="M139" s="13">
        <v>3</v>
      </c>
      <c r="N139" s="46">
        <f t="shared" si="24"/>
        <v>0.176470588235294</v>
      </c>
      <c r="O139" s="13">
        <v>1</v>
      </c>
      <c r="P139" s="47">
        <f t="shared" si="25"/>
        <v>2.82352941176471</v>
      </c>
      <c r="Q139" s="47">
        <f t="shared" si="26"/>
        <v>16</v>
      </c>
      <c r="R139" s="72"/>
      <c r="S139" s="72"/>
      <c r="T139" s="9"/>
      <c r="U139" s="9"/>
      <c r="V139" s="12"/>
      <c r="W139" s="12"/>
      <c r="X139" s="12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</row>
    <row r="140" s="2" customFormat="1" customHeight="1" spans="1:40">
      <c r="A140" s="5"/>
      <c r="B140" s="23"/>
      <c r="C140" s="12" t="s">
        <v>74</v>
      </c>
      <c r="D140" s="12"/>
      <c r="E140" s="12" t="s">
        <v>234</v>
      </c>
      <c r="F140" s="13" t="s">
        <v>235</v>
      </c>
      <c r="G140" s="13"/>
      <c r="H140" s="22"/>
      <c r="I140" s="9"/>
      <c r="J140" s="13">
        <v>71</v>
      </c>
      <c r="K140" s="13">
        <v>4646</v>
      </c>
      <c r="L140" s="13">
        <v>449</v>
      </c>
      <c r="M140" s="13">
        <v>44</v>
      </c>
      <c r="N140" s="46">
        <f t="shared" si="24"/>
        <v>0.0979955456570156</v>
      </c>
      <c r="O140" s="13">
        <v>18</v>
      </c>
      <c r="P140" s="47">
        <f t="shared" si="25"/>
        <v>0.158129175946548</v>
      </c>
      <c r="Q140" s="47">
        <f t="shared" si="26"/>
        <v>1.61363636363636</v>
      </c>
      <c r="R140" s="72"/>
      <c r="S140" s="72"/>
      <c r="T140" s="9"/>
      <c r="U140" s="9"/>
      <c r="V140" s="12"/>
      <c r="W140" s="12"/>
      <c r="X140" s="12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</row>
    <row r="141" s="2" customFormat="1" customHeight="1" spans="1:40">
      <c r="A141" s="5"/>
      <c r="B141" s="30"/>
      <c r="C141" s="27"/>
      <c r="D141" s="27" t="s">
        <v>131</v>
      </c>
      <c r="E141" s="27"/>
      <c r="F141" s="31"/>
      <c r="G141" s="31"/>
      <c r="H141" s="27"/>
      <c r="I141" s="27"/>
      <c r="J141" s="27">
        <f t="shared" ref="J141:M141" si="28">SUM(J127:J140)</f>
        <v>6959</v>
      </c>
      <c r="K141" s="27">
        <f t="shared" si="28"/>
        <v>388248</v>
      </c>
      <c r="L141" s="27">
        <f t="shared" si="28"/>
        <v>41867</v>
      </c>
      <c r="M141" s="27">
        <f t="shared" si="28"/>
        <v>3230</v>
      </c>
      <c r="N141" s="59">
        <f t="shared" si="24"/>
        <v>0.0771490672844961</v>
      </c>
      <c r="O141" s="27">
        <f>SUM(O127:O140)</f>
        <v>1773</v>
      </c>
      <c r="P141" s="60">
        <f t="shared" si="25"/>
        <v>0.166216829483842</v>
      </c>
      <c r="Q141" s="60">
        <f t="shared" si="26"/>
        <v>2.15448916408669</v>
      </c>
      <c r="R141" s="27"/>
      <c r="S141" s="27"/>
      <c r="T141" s="27"/>
      <c r="U141" s="27"/>
      <c r="V141" s="12"/>
      <c r="W141" s="12"/>
      <c r="X141" s="12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</row>
    <row r="142" s="2" customFormat="1" customHeight="1" spans="1:40">
      <c r="A142" s="5"/>
      <c r="B142" s="27" t="s">
        <v>132</v>
      </c>
      <c r="C142" s="27"/>
      <c r="D142" s="27"/>
      <c r="E142" s="27"/>
      <c r="F142" s="31"/>
      <c r="G142" s="31"/>
      <c r="H142" s="27"/>
      <c r="I142" s="27"/>
      <c r="J142" s="27">
        <f t="shared" ref="J142:M142" si="29">J126+J141</f>
        <v>11020.2</v>
      </c>
      <c r="K142" s="27">
        <f t="shared" si="29"/>
        <v>479652</v>
      </c>
      <c r="L142" s="27">
        <f t="shared" si="29"/>
        <v>63840</v>
      </c>
      <c r="M142" s="27">
        <f t="shared" si="29"/>
        <v>4528</v>
      </c>
      <c r="N142" s="59">
        <f t="shared" si="24"/>
        <v>0.0709273182957394</v>
      </c>
      <c r="O142" s="27">
        <f>O126+O141</f>
        <v>2387</v>
      </c>
      <c r="P142" s="60">
        <f t="shared" si="25"/>
        <v>0.172622180451128</v>
      </c>
      <c r="Q142" s="60">
        <f t="shared" si="26"/>
        <v>2.43378975265018</v>
      </c>
      <c r="R142" s="27"/>
      <c r="S142" s="27"/>
      <c r="T142" s="27"/>
      <c r="U142" s="27"/>
      <c r="V142" s="12"/>
      <c r="W142" s="12"/>
      <c r="X142" s="12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</row>
    <row r="143" s="3" customFormat="1" customHeight="1" spans="1:24">
      <c r="A143" s="5"/>
      <c r="B143" s="94" t="s">
        <v>133</v>
      </c>
      <c r="C143" s="94"/>
      <c r="D143" s="94"/>
      <c r="E143" s="94"/>
      <c r="F143" s="95" t="s">
        <v>32</v>
      </c>
      <c r="G143" s="95" t="s">
        <v>33</v>
      </c>
      <c r="H143" s="80" t="s">
        <v>52</v>
      </c>
      <c r="I143" s="80"/>
      <c r="J143" s="52" t="s">
        <v>15</v>
      </c>
      <c r="K143" s="52" t="s">
        <v>16</v>
      </c>
      <c r="L143" s="103" t="s">
        <v>17</v>
      </c>
      <c r="M143" s="103"/>
      <c r="N143" s="103" t="s">
        <v>18</v>
      </c>
      <c r="O143" s="103"/>
      <c r="P143" s="103" t="s">
        <v>19</v>
      </c>
      <c r="Q143" s="103"/>
      <c r="R143" s="103" t="s">
        <v>20</v>
      </c>
      <c r="S143" s="103"/>
      <c r="T143" s="103" t="s">
        <v>21</v>
      </c>
      <c r="U143" s="103"/>
      <c r="V143" s="89" t="s">
        <v>134</v>
      </c>
      <c r="W143" s="89"/>
      <c r="X143" s="89"/>
    </row>
    <row r="144" s="3" customFormat="1" customHeight="1" spans="1:24">
      <c r="A144" s="5"/>
      <c r="B144" s="96"/>
      <c r="C144" s="96"/>
      <c r="D144" s="96"/>
      <c r="E144" s="96"/>
      <c r="F144" s="97">
        <v>3000</v>
      </c>
      <c r="G144" s="97" t="s">
        <v>52</v>
      </c>
      <c r="H144" s="13"/>
      <c r="I144" s="13"/>
      <c r="J144" s="104"/>
      <c r="K144" s="104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7"/>
      <c r="W144" s="107"/>
      <c r="X144" s="107"/>
    </row>
    <row r="145" s="3" customFormat="1" customHeight="1" spans="1:24">
      <c r="A145" s="5"/>
      <c r="B145" s="12" t="s">
        <v>254</v>
      </c>
      <c r="C145" s="12"/>
      <c r="D145" s="12"/>
      <c r="E145" s="12"/>
      <c r="F145" s="98"/>
      <c r="G145" s="99"/>
      <c r="H145" s="13"/>
      <c r="I145" s="13"/>
      <c r="J145" s="34" t="s">
        <v>217</v>
      </c>
      <c r="K145" s="12" t="s">
        <v>218</v>
      </c>
      <c r="L145" s="42">
        <v>3000</v>
      </c>
      <c r="M145" s="53" t="s">
        <v>63</v>
      </c>
      <c r="N145" s="42">
        <v>4</v>
      </c>
      <c r="O145" s="53" t="s">
        <v>63</v>
      </c>
      <c r="P145" s="42">
        <v>75000</v>
      </c>
      <c r="Q145" s="53" t="s">
        <v>63</v>
      </c>
      <c r="R145" s="42">
        <v>16000</v>
      </c>
      <c r="S145" s="53" t="s">
        <v>63</v>
      </c>
      <c r="T145" s="42">
        <v>950</v>
      </c>
      <c r="U145" s="53" t="s">
        <v>63</v>
      </c>
      <c r="V145" s="24" t="s">
        <v>255</v>
      </c>
      <c r="W145" s="24"/>
      <c r="X145" s="24"/>
    </row>
    <row r="146" s="3" customFormat="1" customHeight="1" spans="1:24">
      <c r="A146" s="5"/>
      <c r="B146" s="12"/>
      <c r="C146" s="12"/>
      <c r="D146" s="12"/>
      <c r="E146" s="12"/>
      <c r="F146" s="100"/>
      <c r="G146" s="101"/>
      <c r="H146" s="13"/>
      <c r="I146" s="13"/>
      <c r="J146" s="12"/>
      <c r="K146" s="12"/>
      <c r="L146" s="42"/>
      <c r="M146" s="43">
        <f>L145/J126-1</f>
        <v>-0.261302078203487</v>
      </c>
      <c r="N146" s="42"/>
      <c r="O146" s="43">
        <f>N145/E117-1</f>
        <v>0</v>
      </c>
      <c r="P146" s="42"/>
      <c r="Q146" s="43">
        <f>P145/K126-1</f>
        <v>-0.179466981751346</v>
      </c>
      <c r="R146" s="42"/>
      <c r="S146" s="43">
        <f>R145/L126-1</f>
        <v>-0.271833613980795</v>
      </c>
      <c r="T146" s="42"/>
      <c r="U146" s="43">
        <f>T145/M126-1</f>
        <v>-0.268104776579353</v>
      </c>
      <c r="V146" s="24"/>
      <c r="W146" s="24"/>
      <c r="X146" s="24"/>
    </row>
    <row r="147" s="2" customFormat="1" customHeight="1" spans="1:40">
      <c r="A147" s="5"/>
      <c r="B147" s="77"/>
      <c r="C147" s="77"/>
      <c r="D147" s="77"/>
      <c r="E147" s="77"/>
      <c r="F147" s="78"/>
      <c r="G147" s="78"/>
      <c r="H147" s="79"/>
      <c r="I147" s="79"/>
      <c r="J147" s="79"/>
      <c r="K147" s="79"/>
      <c r="L147" s="83"/>
      <c r="M147" s="83"/>
      <c r="N147" s="83"/>
      <c r="O147" s="83"/>
      <c r="P147" s="83"/>
      <c r="Q147" s="83"/>
      <c r="R147" s="5"/>
      <c r="S147" s="5"/>
      <c r="T147" s="5"/>
      <c r="U147" s="8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 s="2" customFormat="1" customHeight="1" spans="1:40">
      <c r="A148" s="5"/>
      <c r="B148" s="9" t="s">
        <v>14</v>
      </c>
      <c r="C148" s="9"/>
      <c r="D148" s="9"/>
      <c r="E148" s="9"/>
      <c r="F148" s="10"/>
      <c r="G148" s="10"/>
      <c r="H148" s="11"/>
      <c r="I148" s="11"/>
      <c r="J148" s="11" t="s">
        <v>15</v>
      </c>
      <c r="K148" s="11" t="s">
        <v>16</v>
      </c>
      <c r="L148" s="39" t="s">
        <v>17</v>
      </c>
      <c r="M148" s="39"/>
      <c r="N148" s="39" t="s">
        <v>18</v>
      </c>
      <c r="O148" s="39"/>
      <c r="P148" s="39" t="s">
        <v>19</v>
      </c>
      <c r="Q148" s="39"/>
      <c r="R148" s="39" t="s">
        <v>20</v>
      </c>
      <c r="S148" s="39"/>
      <c r="T148" s="39" t="s">
        <v>21</v>
      </c>
      <c r="U148" s="39"/>
      <c r="V148" s="24" t="s">
        <v>134</v>
      </c>
      <c r="W148" s="24"/>
      <c r="X148" s="24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 s="2" customFormat="1" customHeight="1" spans="1:40">
      <c r="A149" s="5"/>
      <c r="B149" s="9"/>
      <c r="C149" s="9"/>
      <c r="D149" s="9"/>
      <c r="E149" s="9"/>
      <c r="F149" s="10"/>
      <c r="G149" s="10"/>
      <c r="H149" s="11"/>
      <c r="I149" s="11"/>
      <c r="J149" s="11"/>
      <c r="K149" s="11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24"/>
      <c r="W149" s="24"/>
      <c r="X149" s="24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</row>
    <row r="150" s="2" customFormat="1" customHeight="1" spans="1:40">
      <c r="A150" s="5"/>
      <c r="B150" s="12" t="s">
        <v>256</v>
      </c>
      <c r="C150" s="12"/>
      <c r="D150" s="12"/>
      <c r="E150" s="12"/>
      <c r="F150" s="13"/>
      <c r="G150" s="13"/>
      <c r="H150" s="12"/>
      <c r="I150" s="12"/>
      <c r="J150" s="12" t="s">
        <v>257</v>
      </c>
      <c r="K150" s="12" t="s">
        <v>258</v>
      </c>
      <c r="L150" s="42">
        <v>6000</v>
      </c>
      <c r="M150" s="41" t="s">
        <v>26</v>
      </c>
      <c r="N150" s="42">
        <v>8</v>
      </c>
      <c r="O150" s="41" t="s">
        <v>26</v>
      </c>
      <c r="P150" s="42">
        <v>92000</v>
      </c>
      <c r="Q150" s="41" t="s">
        <v>26</v>
      </c>
      <c r="R150" s="42">
        <v>16000</v>
      </c>
      <c r="S150" s="41" t="s">
        <v>26</v>
      </c>
      <c r="T150" s="42">
        <v>650</v>
      </c>
      <c r="U150" s="41" t="s">
        <v>26</v>
      </c>
      <c r="V150" s="24" t="s">
        <v>259</v>
      </c>
      <c r="W150" s="24"/>
      <c r="X150" s="24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</row>
    <row r="151" s="2" customFormat="1" customHeight="1" spans="1:40">
      <c r="A151" s="5"/>
      <c r="B151" s="12"/>
      <c r="C151" s="12"/>
      <c r="D151" s="12"/>
      <c r="E151" s="12"/>
      <c r="F151" s="13"/>
      <c r="G151" s="13"/>
      <c r="H151" s="12"/>
      <c r="I151" s="12"/>
      <c r="J151" s="12"/>
      <c r="K151" s="12"/>
      <c r="L151" s="42"/>
      <c r="M151" s="43">
        <f>J154/L150-1</f>
        <v>-0.0639999999999999</v>
      </c>
      <c r="N151" s="42"/>
      <c r="O151" s="43">
        <f>E154/N150-1</f>
        <v>-0.125</v>
      </c>
      <c r="P151" s="42"/>
      <c r="Q151" s="43">
        <f>K154/P150-1</f>
        <v>1.02578260869565</v>
      </c>
      <c r="R151" s="42"/>
      <c r="S151" s="43">
        <f>L154/R150-1</f>
        <v>0.5320625</v>
      </c>
      <c r="T151" s="42"/>
      <c r="U151" s="43">
        <f>M154/T150-1</f>
        <v>-0.00923076923076926</v>
      </c>
      <c r="V151" s="24"/>
      <c r="W151" s="24"/>
      <c r="X151" s="24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 s="2" customFormat="1" customHeight="1" spans="1:40">
      <c r="A152" s="5"/>
      <c r="B152" s="14" t="s">
        <v>28</v>
      </c>
      <c r="C152" s="14" t="s">
        <v>29</v>
      </c>
      <c r="D152" s="14" t="s">
        <v>30</v>
      </c>
      <c r="E152" s="14" t="s">
        <v>31</v>
      </c>
      <c r="F152" s="15" t="s">
        <v>32</v>
      </c>
      <c r="G152" s="15" t="s">
        <v>33</v>
      </c>
      <c r="H152" s="14"/>
      <c r="I152" s="14"/>
      <c r="J152" s="14" t="s">
        <v>34</v>
      </c>
      <c r="K152" s="14" t="s">
        <v>35</v>
      </c>
      <c r="L152" s="14" t="s">
        <v>36</v>
      </c>
      <c r="M152" s="14" t="s">
        <v>37</v>
      </c>
      <c r="N152" s="91" t="s">
        <v>38</v>
      </c>
      <c r="O152" s="91" t="s">
        <v>39</v>
      </c>
      <c r="P152" s="91" t="s">
        <v>40</v>
      </c>
      <c r="Q152" s="91" t="s">
        <v>41</v>
      </c>
      <c r="R152" s="91" t="s">
        <v>42</v>
      </c>
      <c r="S152" s="91" t="s">
        <v>43</v>
      </c>
      <c r="T152" s="91" t="s">
        <v>44</v>
      </c>
      <c r="U152" s="92" t="s">
        <v>45</v>
      </c>
      <c r="V152" s="65" t="s">
        <v>46</v>
      </c>
      <c r="W152" s="65" t="s">
        <v>47</v>
      </c>
      <c r="X152" s="65" t="s">
        <v>48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 s="2" customFormat="1" customHeight="1" spans="1:40">
      <c r="A153" s="5"/>
      <c r="B153" s="12" t="s">
        <v>50</v>
      </c>
      <c r="C153" s="12">
        <f>F153+G153</f>
        <v>16000</v>
      </c>
      <c r="D153" s="12" t="s">
        <v>258</v>
      </c>
      <c r="E153" s="12">
        <v>9</v>
      </c>
      <c r="F153" s="13">
        <v>8000</v>
      </c>
      <c r="G153" s="13">
        <v>8000</v>
      </c>
      <c r="H153" s="12"/>
      <c r="I153" s="12"/>
      <c r="J153" s="12">
        <v>6247.7</v>
      </c>
      <c r="K153" s="12">
        <v>94016</v>
      </c>
      <c r="L153" s="42">
        <v>16290</v>
      </c>
      <c r="M153" s="42">
        <v>655</v>
      </c>
      <c r="N153" s="46">
        <v>0.0402087170042971</v>
      </c>
      <c r="O153" s="42">
        <v>358</v>
      </c>
      <c r="P153" s="48">
        <v>0.383529772866789</v>
      </c>
      <c r="Q153" s="48">
        <v>9.53847328244275</v>
      </c>
      <c r="R153" s="42">
        <v>871</v>
      </c>
      <c r="S153" s="48">
        <v>7.69628013777268</v>
      </c>
      <c r="T153" s="12">
        <v>0</v>
      </c>
      <c r="U153" s="12">
        <v>0</v>
      </c>
      <c r="V153" s="68">
        <v>1</v>
      </c>
      <c r="W153" s="68">
        <v>0</v>
      </c>
      <c r="X153" s="24">
        <v>9</v>
      </c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 s="2" customFormat="1" customHeight="1" spans="1:40">
      <c r="A154" s="5"/>
      <c r="B154" s="12" t="s">
        <v>51</v>
      </c>
      <c r="C154" s="12"/>
      <c r="D154" s="12" t="s">
        <v>258</v>
      </c>
      <c r="E154" s="12">
        <v>7</v>
      </c>
      <c r="F154" s="13">
        <v>6000</v>
      </c>
      <c r="G154" s="13">
        <v>6000</v>
      </c>
      <c r="H154" s="12"/>
      <c r="I154" s="12"/>
      <c r="J154" s="12">
        <v>5616</v>
      </c>
      <c r="K154" s="12">
        <v>186372</v>
      </c>
      <c r="L154" s="42">
        <v>24513</v>
      </c>
      <c r="M154" s="42">
        <v>644</v>
      </c>
      <c r="N154" s="46">
        <v>0.0262717741606494</v>
      </c>
      <c r="O154" s="42">
        <v>326</v>
      </c>
      <c r="P154" s="48">
        <v>0.229102924978583</v>
      </c>
      <c r="Q154" s="48">
        <v>8.72049689440994</v>
      </c>
      <c r="R154" s="108">
        <v>3620</v>
      </c>
      <c r="S154" s="109">
        <v>1.55143922651934</v>
      </c>
      <c r="T154" s="12">
        <v>0</v>
      </c>
      <c r="U154" s="12">
        <v>0</v>
      </c>
      <c r="V154" s="68">
        <v>0.857</v>
      </c>
      <c r="W154" s="68">
        <v>0.143</v>
      </c>
      <c r="X154" s="24">
        <f>E154</f>
        <v>7</v>
      </c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 s="2" customFormat="1" customHeight="1" spans="1:40">
      <c r="A155" s="5"/>
      <c r="B155" s="9" t="s">
        <v>53</v>
      </c>
      <c r="C155" s="9"/>
      <c r="D155" s="9"/>
      <c r="E155" s="9"/>
      <c r="F155" s="18"/>
      <c r="G155" s="18"/>
      <c r="H155" s="9"/>
      <c r="I155" s="9"/>
      <c r="J155" s="9" t="s">
        <v>54</v>
      </c>
      <c r="K155" s="9"/>
      <c r="L155" s="11" t="s">
        <v>31</v>
      </c>
      <c r="M155" s="11"/>
      <c r="N155" s="11" t="s">
        <v>35</v>
      </c>
      <c r="O155" s="11"/>
      <c r="P155" s="11" t="s">
        <v>36</v>
      </c>
      <c r="Q155" s="11"/>
      <c r="R155" s="11" t="s">
        <v>37</v>
      </c>
      <c r="S155" s="11"/>
      <c r="T155" s="9" t="s">
        <v>46</v>
      </c>
      <c r="U155" s="9" t="s">
        <v>47</v>
      </c>
      <c r="V155" s="24" t="s">
        <v>55</v>
      </c>
      <c r="W155" s="24"/>
      <c r="X155" s="24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 s="2" customFormat="1" customHeight="1" spans="1:40">
      <c r="A156" s="5"/>
      <c r="B156" s="12" t="s">
        <v>56</v>
      </c>
      <c r="C156" s="12" t="s">
        <v>57</v>
      </c>
      <c r="D156" s="12"/>
      <c r="E156" s="12" t="s">
        <v>58</v>
      </c>
      <c r="F156" s="19" t="s">
        <v>59</v>
      </c>
      <c r="G156" s="19" t="s">
        <v>60</v>
      </c>
      <c r="H156" s="20" t="s">
        <v>61</v>
      </c>
      <c r="I156" s="20" t="s">
        <v>62</v>
      </c>
      <c r="J156" s="12">
        <f>J166</f>
        <v>5616</v>
      </c>
      <c r="K156" s="53" t="s">
        <v>63</v>
      </c>
      <c r="L156" s="12">
        <v>7</v>
      </c>
      <c r="M156" s="53" t="s">
        <v>63</v>
      </c>
      <c r="N156" s="12">
        <f>K166</f>
        <v>186372</v>
      </c>
      <c r="O156" s="53" t="s">
        <v>63</v>
      </c>
      <c r="P156" s="12">
        <f>L166</f>
        <v>24513</v>
      </c>
      <c r="Q156" s="53" t="s">
        <v>63</v>
      </c>
      <c r="R156" s="42">
        <f>M166</f>
        <v>644</v>
      </c>
      <c r="S156" s="53" t="s">
        <v>63</v>
      </c>
      <c r="T156" s="68">
        <v>0.857</v>
      </c>
      <c r="U156" s="68">
        <v>0.143</v>
      </c>
      <c r="V156" s="24"/>
      <c r="W156" s="24"/>
      <c r="X156" s="24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</row>
    <row r="157" s="2" customFormat="1" customHeight="1" spans="1:40">
      <c r="A157" s="5"/>
      <c r="B157" s="12"/>
      <c r="C157" s="12"/>
      <c r="D157" s="12"/>
      <c r="E157" s="12"/>
      <c r="F157" s="19"/>
      <c r="G157" s="19"/>
      <c r="H157" s="20"/>
      <c r="I157" s="20"/>
      <c r="J157" s="12"/>
      <c r="K157" s="43">
        <f>J156/J153-1</f>
        <v>-0.101109208188613</v>
      </c>
      <c r="L157" s="12"/>
      <c r="M157" s="43">
        <f>L156/E153-1</f>
        <v>-0.222222222222222</v>
      </c>
      <c r="N157" s="12"/>
      <c r="O157" s="43">
        <f>N156/K153-1</f>
        <v>0.982343430905378</v>
      </c>
      <c r="P157" s="12"/>
      <c r="Q157" s="43">
        <f>P156/L153-1</f>
        <v>0.504788213627993</v>
      </c>
      <c r="R157" s="12"/>
      <c r="S157" s="43">
        <f>R156/M153-1</f>
        <v>-0.016793893129771</v>
      </c>
      <c r="T157" s="12"/>
      <c r="U157" s="53"/>
      <c r="V157" s="24"/>
      <c r="W157" s="24"/>
      <c r="X157" s="24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</row>
    <row r="158" s="2" customFormat="1" customHeight="1" spans="1:40">
      <c r="A158" s="5"/>
      <c r="B158" s="12"/>
      <c r="C158" s="12"/>
      <c r="D158" s="12"/>
      <c r="E158" s="12"/>
      <c r="F158" s="19"/>
      <c r="G158" s="19"/>
      <c r="H158" s="20"/>
      <c r="I158" s="20"/>
      <c r="J158" s="54" t="s">
        <v>34</v>
      </c>
      <c r="K158" s="55" t="s">
        <v>35</v>
      </c>
      <c r="L158" s="55" t="s">
        <v>36</v>
      </c>
      <c r="M158" s="55" t="s">
        <v>37</v>
      </c>
      <c r="N158" s="55" t="s">
        <v>38</v>
      </c>
      <c r="O158" s="56" t="s">
        <v>39</v>
      </c>
      <c r="P158" s="55" t="s">
        <v>40</v>
      </c>
      <c r="Q158" s="55" t="s">
        <v>41</v>
      </c>
      <c r="R158" s="54" t="s">
        <v>42</v>
      </c>
      <c r="S158" s="54" t="s">
        <v>43</v>
      </c>
      <c r="T158" s="55" t="s">
        <v>64</v>
      </c>
      <c r="U158" s="55" t="s">
        <v>65</v>
      </c>
      <c r="V158" s="24" t="s">
        <v>260</v>
      </c>
      <c r="W158" s="12"/>
      <c r="X158" s="12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</row>
    <row r="159" s="2" customFormat="1" customHeight="1" spans="1:40">
      <c r="A159" s="5"/>
      <c r="B159" s="21" t="s">
        <v>258</v>
      </c>
      <c r="C159" s="12" t="s">
        <v>67</v>
      </c>
      <c r="D159" s="21" t="s">
        <v>68</v>
      </c>
      <c r="E159" s="12" t="s">
        <v>261</v>
      </c>
      <c r="F159" s="13" t="s">
        <v>262</v>
      </c>
      <c r="G159" s="13" t="s">
        <v>263</v>
      </c>
      <c r="H159" s="22">
        <v>45473</v>
      </c>
      <c r="I159" s="13" t="s">
        <v>146</v>
      </c>
      <c r="J159" s="12">
        <v>2112</v>
      </c>
      <c r="K159" s="13">
        <v>2277</v>
      </c>
      <c r="L159" s="13">
        <v>332</v>
      </c>
      <c r="M159" s="13">
        <v>6</v>
      </c>
      <c r="N159" s="46">
        <f t="shared" ref="N159:N164" si="30">M159/L159</f>
        <v>0.0180722891566265</v>
      </c>
      <c r="O159" s="13">
        <v>5</v>
      </c>
      <c r="P159" s="47">
        <f t="shared" ref="P159:P164" si="31">J159/L159</f>
        <v>6.36144578313253</v>
      </c>
      <c r="Q159" s="47">
        <f t="shared" ref="Q159:Q164" si="32">J159/M159</f>
        <v>352</v>
      </c>
      <c r="R159" s="13" t="s">
        <v>146</v>
      </c>
      <c r="S159" s="13" t="s">
        <v>146</v>
      </c>
      <c r="T159" s="12" t="s">
        <v>72</v>
      </c>
      <c r="U159" s="12" t="s">
        <v>264</v>
      </c>
      <c r="V159" s="12"/>
      <c r="W159" s="12"/>
      <c r="X159" s="12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</row>
    <row r="160" s="2" customFormat="1" customHeight="1" spans="1:40">
      <c r="A160" s="5"/>
      <c r="B160" s="23"/>
      <c r="C160" s="12" t="s">
        <v>74</v>
      </c>
      <c r="D160" s="23"/>
      <c r="E160" s="12" t="s">
        <v>265</v>
      </c>
      <c r="F160" s="13" t="s">
        <v>266</v>
      </c>
      <c r="G160" s="13" t="s">
        <v>267</v>
      </c>
      <c r="H160" s="22">
        <v>45455</v>
      </c>
      <c r="I160" s="13" t="s">
        <v>146</v>
      </c>
      <c r="J160" s="12">
        <v>1152</v>
      </c>
      <c r="K160" s="13">
        <v>59381</v>
      </c>
      <c r="L160" s="13">
        <v>4774</v>
      </c>
      <c r="M160" s="13">
        <v>91</v>
      </c>
      <c r="N160" s="46">
        <f t="shared" si="30"/>
        <v>0.0190615835777126</v>
      </c>
      <c r="O160" s="13">
        <v>45</v>
      </c>
      <c r="P160" s="47">
        <f t="shared" si="31"/>
        <v>0.241307080016757</v>
      </c>
      <c r="Q160" s="47">
        <f t="shared" si="32"/>
        <v>12.6593406593407</v>
      </c>
      <c r="R160" s="13" t="s">
        <v>146</v>
      </c>
      <c r="S160" s="13" t="s">
        <v>146</v>
      </c>
      <c r="T160" s="12" t="s">
        <v>72</v>
      </c>
      <c r="U160" s="12" t="s">
        <v>78</v>
      </c>
      <c r="V160" s="12"/>
      <c r="W160" s="12"/>
      <c r="X160" s="12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</row>
    <row r="161" s="2" customFormat="1" customHeight="1" spans="1:40">
      <c r="A161" s="5"/>
      <c r="B161" s="23"/>
      <c r="C161" s="12" t="s">
        <v>74</v>
      </c>
      <c r="D161" s="23"/>
      <c r="E161" s="12">
        <v>6.6601532e+23</v>
      </c>
      <c r="F161" s="13" t="s">
        <v>268</v>
      </c>
      <c r="G161" s="13" t="s">
        <v>269</v>
      </c>
      <c r="H161" s="22">
        <v>45453</v>
      </c>
      <c r="I161" s="13">
        <v>0.21</v>
      </c>
      <c r="J161" s="12">
        <v>495</v>
      </c>
      <c r="K161" s="13">
        <v>10450</v>
      </c>
      <c r="L161" s="13">
        <v>1152</v>
      </c>
      <c r="M161" s="13">
        <v>76</v>
      </c>
      <c r="N161" s="46">
        <f t="shared" si="30"/>
        <v>0.0659722222222222</v>
      </c>
      <c r="O161" s="13">
        <v>28</v>
      </c>
      <c r="P161" s="47">
        <f t="shared" si="31"/>
        <v>0.4296875</v>
      </c>
      <c r="Q161" s="47">
        <f t="shared" si="32"/>
        <v>6.51315789473684</v>
      </c>
      <c r="R161" s="13">
        <v>434</v>
      </c>
      <c r="S161" s="13">
        <v>1.14</v>
      </c>
      <c r="T161" s="12" t="s">
        <v>72</v>
      </c>
      <c r="U161" s="12" t="s">
        <v>78</v>
      </c>
      <c r="V161" s="12"/>
      <c r="W161" s="12"/>
      <c r="X161" s="12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</row>
    <row r="162" s="2" customFormat="1" customHeight="1" spans="1:40">
      <c r="A162" s="5"/>
      <c r="B162" s="23"/>
      <c r="C162" s="12" t="s">
        <v>74</v>
      </c>
      <c r="D162" s="23"/>
      <c r="E162" s="12" t="s">
        <v>270</v>
      </c>
      <c r="F162" s="13" t="s">
        <v>271</v>
      </c>
      <c r="G162" s="13" t="s">
        <v>272</v>
      </c>
      <c r="H162" s="22">
        <v>45447</v>
      </c>
      <c r="I162" s="13">
        <v>0</v>
      </c>
      <c r="J162" s="12">
        <v>242</v>
      </c>
      <c r="K162" s="13">
        <v>3938</v>
      </c>
      <c r="L162" s="13">
        <v>567</v>
      </c>
      <c r="M162" s="13">
        <v>21</v>
      </c>
      <c r="N162" s="46">
        <f t="shared" si="30"/>
        <v>0.037037037037037</v>
      </c>
      <c r="O162" s="13">
        <v>7</v>
      </c>
      <c r="P162" s="47">
        <f t="shared" si="31"/>
        <v>0.426807760141093</v>
      </c>
      <c r="Q162" s="47">
        <f t="shared" si="32"/>
        <v>11.5238095238095</v>
      </c>
      <c r="R162" s="71">
        <v>1586</v>
      </c>
      <c r="S162" s="13">
        <v>0.15</v>
      </c>
      <c r="T162" s="12" t="s">
        <v>72</v>
      </c>
      <c r="U162" s="12" t="s">
        <v>78</v>
      </c>
      <c r="V162" s="12"/>
      <c r="W162" s="12"/>
      <c r="X162" s="12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</row>
    <row r="163" s="2" customFormat="1" customHeight="1" spans="1:40">
      <c r="A163" s="5"/>
      <c r="B163" s="23"/>
      <c r="C163" s="12" t="s">
        <v>74</v>
      </c>
      <c r="D163" s="23"/>
      <c r="E163" s="12" t="s">
        <v>273</v>
      </c>
      <c r="F163" s="13" t="s">
        <v>108</v>
      </c>
      <c r="G163" s="13" t="s">
        <v>274</v>
      </c>
      <c r="H163" s="22">
        <v>45446</v>
      </c>
      <c r="I163" s="13">
        <v>0</v>
      </c>
      <c r="J163" s="12">
        <v>704</v>
      </c>
      <c r="K163" s="13">
        <v>17667</v>
      </c>
      <c r="L163" s="13">
        <v>3027</v>
      </c>
      <c r="M163" s="13">
        <v>209</v>
      </c>
      <c r="N163" s="46">
        <f t="shared" si="30"/>
        <v>0.0690452593326726</v>
      </c>
      <c r="O163" s="13">
        <v>110</v>
      </c>
      <c r="P163" s="47">
        <f t="shared" si="31"/>
        <v>0.232573505120581</v>
      </c>
      <c r="Q163" s="47">
        <f t="shared" si="32"/>
        <v>3.36842105263158</v>
      </c>
      <c r="R163" s="71">
        <v>1575</v>
      </c>
      <c r="S163" s="13">
        <v>0.45</v>
      </c>
      <c r="T163" s="12" t="s">
        <v>72</v>
      </c>
      <c r="U163" s="12" t="s">
        <v>78</v>
      </c>
      <c r="V163" s="12"/>
      <c r="W163" s="12"/>
      <c r="X163" s="12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</row>
    <row r="164" s="2" customFormat="1" customHeight="1" spans="1:40">
      <c r="A164" s="5"/>
      <c r="B164" s="23"/>
      <c r="C164" s="12" t="s">
        <v>67</v>
      </c>
      <c r="D164" s="30"/>
      <c r="E164" s="12" t="s">
        <v>275</v>
      </c>
      <c r="F164" s="13" t="s">
        <v>276</v>
      </c>
      <c r="G164" s="13" t="s">
        <v>277</v>
      </c>
      <c r="H164" s="22">
        <v>45444</v>
      </c>
      <c r="I164" s="13" t="s">
        <v>146</v>
      </c>
      <c r="J164" s="12">
        <v>891</v>
      </c>
      <c r="K164" s="13">
        <v>91841</v>
      </c>
      <c r="L164" s="13">
        <v>14514</v>
      </c>
      <c r="M164" s="13">
        <v>199</v>
      </c>
      <c r="N164" s="46">
        <f t="shared" si="30"/>
        <v>0.0137108998208626</v>
      </c>
      <c r="O164" s="13">
        <v>103</v>
      </c>
      <c r="P164" s="47">
        <f t="shared" si="31"/>
        <v>0.0613890037205457</v>
      </c>
      <c r="Q164" s="47">
        <f t="shared" si="32"/>
        <v>4.47738693467337</v>
      </c>
      <c r="R164" s="13" t="s">
        <v>146</v>
      </c>
      <c r="S164" s="13" t="s">
        <v>146</v>
      </c>
      <c r="T164" s="12" t="s">
        <v>72</v>
      </c>
      <c r="U164" s="12" t="s">
        <v>264</v>
      </c>
      <c r="V164" s="12"/>
      <c r="W164" s="12"/>
      <c r="X164" s="12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</row>
    <row r="165" s="2" customFormat="1" customHeight="1" spans="1:40">
      <c r="A165" s="5"/>
      <c r="B165" s="23"/>
      <c r="C165" s="12" t="s">
        <v>74</v>
      </c>
      <c r="D165" s="12" t="s">
        <v>91</v>
      </c>
      <c r="E165" s="12" t="s">
        <v>278</v>
      </c>
      <c r="F165" s="13" t="s">
        <v>279</v>
      </c>
      <c r="G165" s="13" t="s">
        <v>280</v>
      </c>
      <c r="H165" s="22">
        <v>45454</v>
      </c>
      <c r="I165" s="13">
        <v>0</v>
      </c>
      <c r="J165" s="12">
        <v>20</v>
      </c>
      <c r="K165" s="13">
        <v>818</v>
      </c>
      <c r="L165" s="13">
        <v>147</v>
      </c>
      <c r="M165" s="13">
        <v>42</v>
      </c>
      <c r="N165" s="46">
        <v>0.2857</v>
      </c>
      <c r="O165" s="13">
        <v>28</v>
      </c>
      <c r="P165" s="47">
        <v>0.48</v>
      </c>
      <c r="Q165" s="47">
        <v>0.48</v>
      </c>
      <c r="R165" s="13">
        <v>25</v>
      </c>
      <c r="S165" s="13">
        <v>0.8</v>
      </c>
      <c r="T165" s="12" t="s">
        <v>95</v>
      </c>
      <c r="U165" s="12" t="s">
        <v>78</v>
      </c>
      <c r="V165" s="12"/>
      <c r="W165" s="12"/>
      <c r="X165" s="12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</row>
    <row r="166" s="2" customFormat="1" customHeight="1" spans="1:40">
      <c r="A166" s="5"/>
      <c r="B166" s="23"/>
      <c r="C166" s="26"/>
      <c r="D166" s="27" t="s">
        <v>99</v>
      </c>
      <c r="E166" s="26"/>
      <c r="F166" s="28"/>
      <c r="G166" s="28"/>
      <c r="H166" s="29"/>
      <c r="I166" s="27">
        <f t="shared" ref="I166:M166" si="33">SUM(I159:I165)</f>
        <v>0.21</v>
      </c>
      <c r="J166" s="27">
        <f t="shared" si="33"/>
        <v>5616</v>
      </c>
      <c r="K166" s="27">
        <f t="shared" si="33"/>
        <v>186372</v>
      </c>
      <c r="L166" s="27">
        <f t="shared" si="33"/>
        <v>24513</v>
      </c>
      <c r="M166" s="27">
        <f t="shared" si="33"/>
        <v>644</v>
      </c>
      <c r="N166" s="59">
        <f t="shared" ref="N166:N173" si="34">M166/L166</f>
        <v>0.0262717741606494</v>
      </c>
      <c r="O166" s="27">
        <f>SUM(O159:O165)</f>
        <v>326</v>
      </c>
      <c r="P166" s="60">
        <f t="shared" ref="P166:P173" si="35">J166/L166</f>
        <v>0.229102924978583</v>
      </c>
      <c r="Q166" s="60">
        <f t="shared" ref="Q166:Q173" si="36">J166/M166</f>
        <v>8.72049689440994</v>
      </c>
      <c r="R166" s="27">
        <f>SUM(R159:R165)</f>
        <v>3620</v>
      </c>
      <c r="S166" s="60">
        <f>(J166+I166)/R166</f>
        <v>1.55143922651934</v>
      </c>
      <c r="T166" s="26"/>
      <c r="U166" s="26"/>
      <c r="V166" s="12"/>
      <c r="W166" s="12"/>
      <c r="X166" s="12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</row>
    <row r="167" s="2" customFormat="1" customHeight="1" spans="1:40">
      <c r="A167" s="5"/>
      <c r="B167" s="23"/>
      <c r="C167" s="12" t="s">
        <v>74</v>
      </c>
      <c r="D167" s="12" t="s">
        <v>100</v>
      </c>
      <c r="E167" s="12" t="s">
        <v>281</v>
      </c>
      <c r="F167" s="13" t="s">
        <v>282</v>
      </c>
      <c r="G167" s="13" t="s">
        <v>52</v>
      </c>
      <c r="H167" s="22" t="s">
        <v>52</v>
      </c>
      <c r="I167" s="12"/>
      <c r="J167" s="13">
        <v>773.25</v>
      </c>
      <c r="K167" s="13">
        <v>15706</v>
      </c>
      <c r="L167" s="13">
        <v>2315</v>
      </c>
      <c r="M167" s="13">
        <v>225</v>
      </c>
      <c r="N167" s="46">
        <f t="shared" si="34"/>
        <v>0.0971922246220302</v>
      </c>
      <c r="O167" s="13">
        <v>148</v>
      </c>
      <c r="P167" s="47">
        <f t="shared" si="35"/>
        <v>0.334017278617711</v>
      </c>
      <c r="Q167" s="47">
        <f t="shared" si="36"/>
        <v>3.43666666666667</v>
      </c>
      <c r="R167" s="72" t="s">
        <v>52</v>
      </c>
      <c r="S167" s="72" t="s">
        <v>52</v>
      </c>
      <c r="T167" s="12"/>
      <c r="U167" s="12"/>
      <c r="V167" s="12"/>
      <c r="W167" s="12"/>
      <c r="X167" s="12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</row>
    <row r="168" s="2" customFormat="1" customHeight="1" spans="1:40">
      <c r="A168" s="5"/>
      <c r="B168" s="23"/>
      <c r="C168" s="12" t="s">
        <v>74</v>
      </c>
      <c r="D168" s="12"/>
      <c r="E168" s="12" t="s">
        <v>283</v>
      </c>
      <c r="F168" s="13" t="s">
        <v>83</v>
      </c>
      <c r="G168" s="13"/>
      <c r="H168" s="22"/>
      <c r="I168" s="12"/>
      <c r="J168" s="13">
        <v>1353.9</v>
      </c>
      <c r="K168" s="13">
        <v>18431</v>
      </c>
      <c r="L168" s="13">
        <v>1731</v>
      </c>
      <c r="M168" s="13">
        <v>303</v>
      </c>
      <c r="N168" s="46">
        <f t="shared" si="34"/>
        <v>0.175043327556326</v>
      </c>
      <c r="O168" s="13">
        <v>185</v>
      </c>
      <c r="P168" s="47">
        <f t="shared" si="35"/>
        <v>0.782149046793761</v>
      </c>
      <c r="Q168" s="47">
        <f t="shared" si="36"/>
        <v>4.46831683168317</v>
      </c>
      <c r="R168" s="72"/>
      <c r="S168" s="72"/>
      <c r="T168" s="12"/>
      <c r="U168" s="12"/>
      <c r="V168" s="12"/>
      <c r="W168" s="12"/>
      <c r="X168" s="12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</row>
    <row r="169" s="2" customFormat="1" customHeight="1" spans="1:40">
      <c r="A169" s="5"/>
      <c r="B169" s="23"/>
      <c r="C169" s="12" t="s">
        <v>74</v>
      </c>
      <c r="D169" s="12"/>
      <c r="E169" s="12" t="s">
        <v>284</v>
      </c>
      <c r="F169" s="13" t="s">
        <v>110</v>
      </c>
      <c r="G169" s="13"/>
      <c r="H169" s="22"/>
      <c r="I169" s="12"/>
      <c r="J169" s="13">
        <v>1117.35</v>
      </c>
      <c r="K169" s="13">
        <v>14540</v>
      </c>
      <c r="L169" s="13">
        <v>1427</v>
      </c>
      <c r="M169" s="13">
        <v>237</v>
      </c>
      <c r="N169" s="46">
        <f t="shared" si="34"/>
        <v>0.166082690960056</v>
      </c>
      <c r="O169" s="13">
        <v>171</v>
      </c>
      <c r="P169" s="47">
        <f t="shared" si="35"/>
        <v>0.783006306937631</v>
      </c>
      <c r="Q169" s="47">
        <f t="shared" si="36"/>
        <v>4.71455696202532</v>
      </c>
      <c r="R169" s="72"/>
      <c r="S169" s="72"/>
      <c r="T169" s="12"/>
      <c r="U169" s="12"/>
      <c r="V169" s="12"/>
      <c r="W169" s="12"/>
      <c r="X169" s="12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 s="2" customFormat="1" customHeight="1" spans="1:40">
      <c r="A170" s="5"/>
      <c r="B170" s="23"/>
      <c r="C170" s="12" t="s">
        <v>74</v>
      </c>
      <c r="D170" s="12"/>
      <c r="E170" s="12" t="s">
        <v>284</v>
      </c>
      <c r="F170" s="13" t="s">
        <v>110</v>
      </c>
      <c r="G170" s="13"/>
      <c r="H170" s="22"/>
      <c r="I170" s="9"/>
      <c r="J170" s="13">
        <v>0.26</v>
      </c>
      <c r="K170" s="13">
        <v>65</v>
      </c>
      <c r="L170" s="13">
        <v>6</v>
      </c>
      <c r="M170" s="13">
        <v>0</v>
      </c>
      <c r="N170" s="46">
        <f t="shared" si="34"/>
        <v>0</v>
      </c>
      <c r="O170" s="13">
        <v>0</v>
      </c>
      <c r="P170" s="47">
        <f t="shared" si="35"/>
        <v>0.0433333333333333</v>
      </c>
      <c r="Q170" s="47" t="e">
        <f t="shared" si="36"/>
        <v>#DIV/0!</v>
      </c>
      <c r="R170" s="72"/>
      <c r="S170" s="72"/>
      <c r="T170" s="9"/>
      <c r="U170" s="9"/>
      <c r="V170" s="12"/>
      <c r="W170" s="12"/>
      <c r="X170" s="12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</row>
    <row r="171" s="2" customFormat="1" customHeight="1" spans="1:40">
      <c r="A171" s="5"/>
      <c r="B171" s="23"/>
      <c r="C171" s="12" t="s">
        <v>74</v>
      </c>
      <c r="D171" s="12"/>
      <c r="E171" s="12" t="s">
        <v>285</v>
      </c>
      <c r="F171" s="13" t="s">
        <v>286</v>
      </c>
      <c r="G171" s="13"/>
      <c r="H171" s="22"/>
      <c r="I171" s="9"/>
      <c r="J171" s="13">
        <v>33.97</v>
      </c>
      <c r="K171" s="13">
        <v>499</v>
      </c>
      <c r="L171" s="13">
        <v>36</v>
      </c>
      <c r="M171" s="13">
        <v>8</v>
      </c>
      <c r="N171" s="46">
        <f t="shared" si="34"/>
        <v>0.222222222222222</v>
      </c>
      <c r="O171" s="13">
        <v>6</v>
      </c>
      <c r="P171" s="47">
        <f t="shared" si="35"/>
        <v>0.943611111111111</v>
      </c>
      <c r="Q171" s="47">
        <f t="shared" si="36"/>
        <v>4.24625</v>
      </c>
      <c r="R171" s="72"/>
      <c r="S171" s="72"/>
      <c r="T171" s="9"/>
      <c r="U171" s="9"/>
      <c r="V171" s="12"/>
      <c r="W171" s="12"/>
      <c r="X171" s="12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</row>
    <row r="172" s="2" customFormat="1" customHeight="1" spans="1:40">
      <c r="A172" s="5"/>
      <c r="B172" s="30"/>
      <c r="C172" s="27"/>
      <c r="D172" s="27" t="s">
        <v>131</v>
      </c>
      <c r="E172" s="27"/>
      <c r="F172" s="31"/>
      <c r="G172" s="31"/>
      <c r="H172" s="27"/>
      <c r="I172" s="27"/>
      <c r="J172" s="60">
        <f t="shared" ref="J172:M172" si="37">SUM(J167:J171)</f>
        <v>3278.73</v>
      </c>
      <c r="K172" s="27">
        <f t="shared" si="37"/>
        <v>49241</v>
      </c>
      <c r="L172" s="27">
        <f t="shared" si="37"/>
        <v>5515</v>
      </c>
      <c r="M172" s="27">
        <f t="shared" si="37"/>
        <v>773</v>
      </c>
      <c r="N172" s="59">
        <f t="shared" si="34"/>
        <v>0.140163191296464</v>
      </c>
      <c r="O172" s="27">
        <f>SUM(O167:O171)</f>
        <v>510</v>
      </c>
      <c r="P172" s="60">
        <f t="shared" si="35"/>
        <v>0.594511332728921</v>
      </c>
      <c r="Q172" s="60">
        <f t="shared" si="36"/>
        <v>4.24156532988357</v>
      </c>
      <c r="R172" s="27"/>
      <c r="S172" s="27"/>
      <c r="T172" s="27"/>
      <c r="U172" s="27"/>
      <c r="V172" s="12"/>
      <c r="W172" s="12"/>
      <c r="X172" s="12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</row>
    <row r="173" s="2" customFormat="1" customHeight="1" spans="1:40">
      <c r="A173" s="5"/>
      <c r="B173" s="27" t="s">
        <v>132</v>
      </c>
      <c r="C173" s="27"/>
      <c r="D173" s="27"/>
      <c r="E173" s="27"/>
      <c r="F173" s="31"/>
      <c r="G173" s="31"/>
      <c r="H173" s="27"/>
      <c r="I173" s="27"/>
      <c r="J173" s="27">
        <f t="shared" ref="J173:M173" si="38">J166+J172</f>
        <v>8894.73</v>
      </c>
      <c r="K173" s="27">
        <f t="shared" si="38"/>
        <v>235613</v>
      </c>
      <c r="L173" s="27">
        <f t="shared" si="38"/>
        <v>30028</v>
      </c>
      <c r="M173" s="27">
        <f t="shared" si="38"/>
        <v>1417</v>
      </c>
      <c r="N173" s="59">
        <f t="shared" si="34"/>
        <v>0.0471892899960037</v>
      </c>
      <c r="O173" s="27">
        <f>O166+O172</f>
        <v>836</v>
      </c>
      <c r="P173" s="60">
        <f t="shared" si="35"/>
        <v>0.296214533102438</v>
      </c>
      <c r="Q173" s="60">
        <f t="shared" si="36"/>
        <v>6.27715596330275</v>
      </c>
      <c r="R173" s="27"/>
      <c r="S173" s="27"/>
      <c r="T173" s="27"/>
      <c r="U173" s="27"/>
      <c r="V173" s="12"/>
      <c r="W173" s="12"/>
      <c r="X173" s="12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</row>
    <row r="174" s="3" customFormat="1" customHeight="1" spans="1:24">
      <c r="A174" s="5"/>
      <c r="B174" s="32" t="s">
        <v>133</v>
      </c>
      <c r="C174" s="32"/>
      <c r="D174" s="32"/>
      <c r="E174" s="32"/>
      <c r="F174" s="15" t="s">
        <v>32</v>
      </c>
      <c r="G174" s="15" t="s">
        <v>33</v>
      </c>
      <c r="H174" s="13" t="s">
        <v>52</v>
      </c>
      <c r="I174" s="13"/>
      <c r="J174" s="11" t="s">
        <v>15</v>
      </c>
      <c r="K174" s="11" t="s">
        <v>16</v>
      </c>
      <c r="L174" s="39" t="s">
        <v>17</v>
      </c>
      <c r="M174" s="39"/>
      <c r="N174" s="39" t="s">
        <v>18</v>
      </c>
      <c r="O174" s="39"/>
      <c r="P174" s="39" t="s">
        <v>19</v>
      </c>
      <c r="Q174" s="39"/>
      <c r="R174" s="39" t="s">
        <v>20</v>
      </c>
      <c r="S174" s="39"/>
      <c r="T174" s="39" t="s">
        <v>21</v>
      </c>
      <c r="U174" s="39"/>
      <c r="V174" s="24" t="s">
        <v>134</v>
      </c>
      <c r="W174" s="24"/>
      <c r="X174" s="24"/>
    </row>
    <row r="175" s="3" customFormat="1" customHeight="1" spans="1:24">
      <c r="A175" s="5"/>
      <c r="B175" s="32"/>
      <c r="C175" s="32"/>
      <c r="D175" s="32"/>
      <c r="E175" s="32"/>
      <c r="F175" s="13" t="s">
        <v>52</v>
      </c>
      <c r="G175" s="13" t="s">
        <v>52</v>
      </c>
      <c r="H175" s="13"/>
      <c r="I175" s="13"/>
      <c r="J175" s="11"/>
      <c r="K175" s="11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24"/>
      <c r="W175" s="24"/>
      <c r="X175" s="24"/>
    </row>
    <row r="176" s="3" customFormat="1" customHeight="1" spans="1:24">
      <c r="A176" s="5"/>
      <c r="B176" s="12" t="s">
        <v>287</v>
      </c>
      <c r="C176" s="12"/>
      <c r="D176" s="12"/>
      <c r="E176" s="12"/>
      <c r="F176" s="13"/>
      <c r="G176" s="13"/>
      <c r="H176" s="13"/>
      <c r="I176" s="13"/>
      <c r="J176" s="12" t="s">
        <v>257</v>
      </c>
      <c r="K176" s="12" t="s">
        <v>258</v>
      </c>
      <c r="L176" s="42" t="s">
        <v>52</v>
      </c>
      <c r="M176" s="53" t="s">
        <v>63</v>
      </c>
      <c r="N176" s="42" t="s">
        <v>52</v>
      </c>
      <c r="O176" s="53" t="s">
        <v>63</v>
      </c>
      <c r="P176" s="42" t="s">
        <v>52</v>
      </c>
      <c r="Q176" s="53" t="s">
        <v>63</v>
      </c>
      <c r="R176" s="42" t="s">
        <v>52</v>
      </c>
      <c r="S176" s="53" t="s">
        <v>63</v>
      </c>
      <c r="T176" s="42" t="s">
        <v>52</v>
      </c>
      <c r="U176" s="53" t="s">
        <v>63</v>
      </c>
      <c r="V176" s="24" t="s">
        <v>288</v>
      </c>
      <c r="W176" s="12"/>
      <c r="X176" s="12"/>
    </row>
    <row r="177" s="3" customFormat="1" customHeight="1" spans="1:24">
      <c r="A177" s="5"/>
      <c r="B177" s="12"/>
      <c r="C177" s="12"/>
      <c r="D177" s="12"/>
      <c r="E177" s="12"/>
      <c r="F177" s="13"/>
      <c r="G177" s="13"/>
      <c r="H177" s="13"/>
      <c r="I177" s="13"/>
      <c r="J177" s="12"/>
      <c r="K177" s="12"/>
      <c r="L177" s="42"/>
      <c r="M177" s="43" t="e">
        <f>L176/F153-1</f>
        <v>#VALUE!</v>
      </c>
      <c r="N177" s="42"/>
      <c r="O177" s="43" t="e">
        <f>N176/E153-1</f>
        <v>#VALUE!</v>
      </c>
      <c r="P177" s="42"/>
      <c r="Q177" s="43" t="e">
        <f>P176/K166-1</f>
        <v>#VALUE!</v>
      </c>
      <c r="R177" s="42"/>
      <c r="S177" s="43" t="e">
        <f>R176/L166-1</f>
        <v>#VALUE!</v>
      </c>
      <c r="T177" s="42"/>
      <c r="U177" s="43" t="e">
        <f>T176/M166-1</f>
        <v>#VALUE!</v>
      </c>
      <c r="V177" s="12"/>
      <c r="W177" s="12"/>
      <c r="X177" s="12"/>
    </row>
    <row r="178" s="2" customFormat="1" customHeight="1" spans="1:40">
      <c r="A178" s="5"/>
      <c r="B178" s="77"/>
      <c r="C178" s="77"/>
      <c r="D178" s="77"/>
      <c r="E178" s="77"/>
      <c r="F178" s="78"/>
      <c r="G178" s="78"/>
      <c r="H178" s="79"/>
      <c r="I178" s="79"/>
      <c r="J178" s="79"/>
      <c r="K178" s="79"/>
      <c r="L178" s="83"/>
      <c r="M178" s="83"/>
      <c r="N178" s="83"/>
      <c r="O178" s="83"/>
      <c r="P178" s="83"/>
      <c r="Q178" s="83"/>
      <c r="R178" s="5"/>
      <c r="S178" s="5"/>
      <c r="T178" s="5"/>
      <c r="U178" s="83"/>
      <c r="V178" s="5"/>
      <c r="W178" s="5"/>
      <c r="X178" s="5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 s="2" customFormat="1" customHeight="1" spans="1:40">
      <c r="A179" s="5"/>
      <c r="B179" s="9" t="s">
        <v>14</v>
      </c>
      <c r="C179" s="9"/>
      <c r="D179" s="9"/>
      <c r="E179" s="9"/>
      <c r="F179" s="10"/>
      <c r="G179" s="10"/>
      <c r="H179" s="11"/>
      <c r="I179" s="104"/>
      <c r="J179" s="11" t="s">
        <v>15</v>
      </c>
      <c r="K179" s="11" t="s">
        <v>16</v>
      </c>
      <c r="L179" s="39" t="s">
        <v>17</v>
      </c>
      <c r="M179" s="39"/>
      <c r="N179" s="39" t="s">
        <v>18</v>
      </c>
      <c r="O179" s="39"/>
      <c r="P179" s="39" t="s">
        <v>19</v>
      </c>
      <c r="Q179" s="39"/>
      <c r="R179" s="39" t="s">
        <v>20</v>
      </c>
      <c r="S179" s="39"/>
      <c r="T179" s="39" t="s">
        <v>21</v>
      </c>
      <c r="U179" s="39"/>
      <c r="V179" s="24" t="s">
        <v>134</v>
      </c>
      <c r="W179" s="24"/>
      <c r="X179" s="24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</row>
    <row r="180" s="2" customFormat="1" customHeight="1" spans="1:40">
      <c r="A180" s="5"/>
      <c r="B180" s="9"/>
      <c r="C180" s="9"/>
      <c r="D180" s="9"/>
      <c r="E180" s="9"/>
      <c r="F180" s="10"/>
      <c r="G180" s="10"/>
      <c r="H180" s="38"/>
      <c r="I180" s="11"/>
      <c r="J180" s="104"/>
      <c r="K180" s="104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7"/>
      <c r="W180" s="107"/>
      <c r="X180" s="107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</row>
    <row r="181" s="2" customFormat="1" customHeight="1" spans="1:40">
      <c r="A181" s="5"/>
      <c r="B181" s="12" t="s">
        <v>289</v>
      </c>
      <c r="C181" s="12"/>
      <c r="D181" s="12"/>
      <c r="E181" s="12"/>
      <c r="F181" s="13"/>
      <c r="G181" s="13"/>
      <c r="H181" s="17"/>
      <c r="I181" s="12"/>
      <c r="J181" s="12" t="s">
        <v>290</v>
      </c>
      <c r="K181" s="12" t="s">
        <v>291</v>
      </c>
      <c r="L181" s="42">
        <v>4500</v>
      </c>
      <c r="M181" s="41" t="s">
        <v>26</v>
      </c>
      <c r="N181" s="42">
        <v>6</v>
      </c>
      <c r="O181" s="41" t="s">
        <v>26</v>
      </c>
      <c r="P181" s="42">
        <v>65000</v>
      </c>
      <c r="Q181" s="41" t="s">
        <v>26</v>
      </c>
      <c r="R181" s="42">
        <v>15000</v>
      </c>
      <c r="S181" s="41" t="s">
        <v>26</v>
      </c>
      <c r="T181" s="42">
        <v>420</v>
      </c>
      <c r="U181" s="41" t="s">
        <v>26</v>
      </c>
      <c r="V181" s="24"/>
      <c r="W181" s="12"/>
      <c r="X181" s="12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</row>
    <row r="182" s="2" customFormat="1" customHeight="1" spans="1:40">
      <c r="A182" s="5"/>
      <c r="B182" s="12"/>
      <c r="C182" s="12"/>
      <c r="D182" s="12"/>
      <c r="E182" s="12"/>
      <c r="F182" s="13"/>
      <c r="G182" s="13"/>
      <c r="H182" s="12"/>
      <c r="I182" s="30"/>
      <c r="J182" s="12"/>
      <c r="K182" s="12"/>
      <c r="L182" s="42"/>
      <c r="M182" s="43">
        <f>J186/L181-1</f>
        <v>-0.0635111111111112</v>
      </c>
      <c r="N182" s="42"/>
      <c r="O182" s="43">
        <f>E186/N181-1</f>
        <v>-0.166666666666667</v>
      </c>
      <c r="P182" s="42"/>
      <c r="Q182" s="43">
        <f>K186/P181-1</f>
        <v>0.474061538461539</v>
      </c>
      <c r="R182" s="42"/>
      <c r="S182" s="43">
        <f>L186/R181-1</f>
        <v>-0.312066666666667</v>
      </c>
      <c r="T182" s="42"/>
      <c r="U182" s="43">
        <f>M186/T181-1</f>
        <v>0.0166666666666666</v>
      </c>
      <c r="V182" s="12"/>
      <c r="W182" s="12"/>
      <c r="X182" s="12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 s="2" customFormat="1" customHeight="1" spans="1:40">
      <c r="A183" s="5"/>
      <c r="B183" s="14" t="s">
        <v>28</v>
      </c>
      <c r="C183" s="14" t="s">
        <v>29</v>
      </c>
      <c r="D183" s="14" t="s">
        <v>30</v>
      </c>
      <c r="E183" s="14" t="s">
        <v>31</v>
      </c>
      <c r="F183" s="15" t="s">
        <v>32</v>
      </c>
      <c r="G183" s="15" t="s">
        <v>33</v>
      </c>
      <c r="H183" s="14"/>
      <c r="I183" s="14"/>
      <c r="J183" s="14" t="s">
        <v>34</v>
      </c>
      <c r="K183" s="14" t="s">
        <v>35</v>
      </c>
      <c r="L183" s="14" t="s">
        <v>36</v>
      </c>
      <c r="M183" s="14" t="s">
        <v>37</v>
      </c>
      <c r="N183" s="91" t="s">
        <v>38</v>
      </c>
      <c r="O183" s="91" t="s">
        <v>39</v>
      </c>
      <c r="P183" s="91" t="s">
        <v>40</v>
      </c>
      <c r="Q183" s="91" t="s">
        <v>41</v>
      </c>
      <c r="R183" s="91" t="s">
        <v>42</v>
      </c>
      <c r="S183" s="91" t="s">
        <v>43</v>
      </c>
      <c r="T183" s="91" t="s">
        <v>44</v>
      </c>
      <c r="U183" s="92" t="s">
        <v>45</v>
      </c>
      <c r="V183" s="65" t="s">
        <v>46</v>
      </c>
      <c r="W183" s="65" t="s">
        <v>47</v>
      </c>
      <c r="X183" s="65" t="s">
        <v>48</v>
      </c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 s="2" customFormat="1" customHeight="1" spans="1:40">
      <c r="A184" s="5"/>
      <c r="B184" s="12" t="s">
        <v>49</v>
      </c>
      <c r="C184" s="12">
        <v>10000</v>
      </c>
      <c r="D184" s="12" t="s">
        <v>291</v>
      </c>
      <c r="E184" s="12">
        <v>13</v>
      </c>
      <c r="F184" s="13">
        <v>5000</v>
      </c>
      <c r="G184" s="13">
        <v>5000</v>
      </c>
      <c r="H184" s="12"/>
      <c r="I184" s="12"/>
      <c r="J184" s="12">
        <v>7204.8</v>
      </c>
      <c r="K184" s="12">
        <v>205427</v>
      </c>
      <c r="L184" s="12">
        <v>60855</v>
      </c>
      <c r="M184" s="12">
        <v>2087</v>
      </c>
      <c r="N184" s="46">
        <v>0.0343</v>
      </c>
      <c r="O184" s="12">
        <v>1070</v>
      </c>
      <c r="P184" s="47">
        <v>0.12</v>
      </c>
      <c r="Q184" s="47">
        <v>3.45</v>
      </c>
      <c r="R184" s="12">
        <v>1622</v>
      </c>
      <c r="S184" s="47">
        <v>5.33</v>
      </c>
      <c r="T184" s="12">
        <v>0</v>
      </c>
      <c r="U184" s="66">
        <v>0</v>
      </c>
      <c r="V184" s="68">
        <v>1</v>
      </c>
      <c r="W184" s="68">
        <v>0</v>
      </c>
      <c r="X184" s="24">
        <v>13</v>
      </c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</row>
    <row r="185" s="2" customFormat="1" customHeight="1" spans="1:40">
      <c r="A185" s="5"/>
      <c r="B185" s="12" t="s">
        <v>50</v>
      </c>
      <c r="C185" s="12">
        <v>12000</v>
      </c>
      <c r="D185" s="12" t="s">
        <v>291</v>
      </c>
      <c r="E185" s="12">
        <v>10</v>
      </c>
      <c r="F185" s="13">
        <v>6000</v>
      </c>
      <c r="G185" s="13">
        <v>6000</v>
      </c>
      <c r="H185" s="12"/>
      <c r="I185" s="12"/>
      <c r="J185" s="12">
        <v>7245.6</v>
      </c>
      <c r="K185" s="12">
        <v>106244</v>
      </c>
      <c r="L185" s="42">
        <v>24102</v>
      </c>
      <c r="M185" s="42">
        <v>676</v>
      </c>
      <c r="N185" s="46">
        <v>0.0280474649406688</v>
      </c>
      <c r="O185" s="42">
        <v>338</v>
      </c>
      <c r="P185" s="106">
        <v>0.300622354991287</v>
      </c>
      <c r="Q185" s="106">
        <v>10.7183431952663</v>
      </c>
      <c r="R185" s="42">
        <v>1375</v>
      </c>
      <c r="S185" s="48">
        <v>5.33786181818182</v>
      </c>
      <c r="T185" s="12">
        <v>0</v>
      </c>
      <c r="U185" s="66">
        <v>0</v>
      </c>
      <c r="V185" s="68">
        <f>T188</f>
        <v>1</v>
      </c>
      <c r="W185" s="68">
        <v>0.1</v>
      </c>
      <c r="X185" s="24">
        <f>E185</f>
        <v>10</v>
      </c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</row>
    <row r="186" s="2" customFormat="1" customHeight="1" spans="1:40">
      <c r="A186" s="5"/>
      <c r="B186" s="12" t="s">
        <v>51</v>
      </c>
      <c r="C186" s="12"/>
      <c r="D186" s="12" t="s">
        <v>291</v>
      </c>
      <c r="E186" s="12">
        <v>5</v>
      </c>
      <c r="F186" s="13">
        <v>4500</v>
      </c>
      <c r="G186" s="13">
        <v>4500</v>
      </c>
      <c r="H186" s="12"/>
      <c r="I186" s="12"/>
      <c r="J186" s="12">
        <v>4214.2</v>
      </c>
      <c r="K186" s="12">
        <v>95814</v>
      </c>
      <c r="L186" s="42">
        <v>10319</v>
      </c>
      <c r="M186" s="42">
        <v>427</v>
      </c>
      <c r="N186" s="46">
        <v>0.0413799786801047</v>
      </c>
      <c r="O186" s="42">
        <v>234</v>
      </c>
      <c r="P186" s="106">
        <v>0.408392286074232</v>
      </c>
      <c r="Q186" s="106">
        <v>9.86932084309133</v>
      </c>
      <c r="R186" s="42">
        <v>706</v>
      </c>
      <c r="S186" s="48">
        <v>5.96912181303116</v>
      </c>
      <c r="T186" s="12">
        <v>0</v>
      </c>
      <c r="U186" s="66">
        <v>0</v>
      </c>
      <c r="V186" s="68">
        <v>1</v>
      </c>
      <c r="W186" s="68">
        <v>0</v>
      </c>
      <c r="X186" s="24">
        <f>E186</f>
        <v>5</v>
      </c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</row>
    <row r="187" s="2" customFormat="1" customHeight="1" spans="1:40">
      <c r="A187" s="5"/>
      <c r="B187" s="9" t="s">
        <v>53</v>
      </c>
      <c r="C187" s="9"/>
      <c r="D187" s="9"/>
      <c r="E187" s="9"/>
      <c r="F187" s="18"/>
      <c r="G187" s="18"/>
      <c r="H187" s="9"/>
      <c r="I187" s="9"/>
      <c r="J187" s="9" t="s">
        <v>54</v>
      </c>
      <c r="K187" s="9"/>
      <c r="L187" s="11" t="s">
        <v>31</v>
      </c>
      <c r="M187" s="11"/>
      <c r="N187" s="11" t="s">
        <v>35</v>
      </c>
      <c r="O187" s="11"/>
      <c r="P187" s="11" t="s">
        <v>36</v>
      </c>
      <c r="Q187" s="11"/>
      <c r="R187" s="11" t="s">
        <v>37</v>
      </c>
      <c r="S187" s="11"/>
      <c r="T187" s="9" t="s">
        <v>46</v>
      </c>
      <c r="U187" s="9" t="s">
        <v>47</v>
      </c>
      <c r="V187" s="24" t="s">
        <v>55</v>
      </c>
      <c r="W187" s="24"/>
      <c r="X187" s="24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</row>
    <row r="188" s="2" customFormat="1" customHeight="1" spans="1:40">
      <c r="A188" s="5"/>
      <c r="B188" s="12" t="s">
        <v>56</v>
      </c>
      <c r="C188" s="12" t="s">
        <v>57</v>
      </c>
      <c r="D188" s="12"/>
      <c r="E188" s="12" t="s">
        <v>58</v>
      </c>
      <c r="F188" s="19" t="s">
        <v>59</v>
      </c>
      <c r="G188" s="19" t="s">
        <v>60</v>
      </c>
      <c r="H188" s="20" t="s">
        <v>61</v>
      </c>
      <c r="I188" s="20" t="s">
        <v>62</v>
      </c>
      <c r="J188" s="12">
        <f>J196</f>
        <v>4214.2</v>
      </c>
      <c r="K188" s="53" t="s">
        <v>63</v>
      </c>
      <c r="L188" s="12">
        <v>5</v>
      </c>
      <c r="M188" s="53" t="s">
        <v>63</v>
      </c>
      <c r="N188" s="12">
        <f>K196</f>
        <v>95814</v>
      </c>
      <c r="O188" s="53" t="s">
        <v>63</v>
      </c>
      <c r="P188" s="12">
        <f>L196</f>
        <v>10319</v>
      </c>
      <c r="Q188" s="53" t="s">
        <v>63</v>
      </c>
      <c r="R188" s="12">
        <f>M196</f>
        <v>427</v>
      </c>
      <c r="S188" s="53" t="s">
        <v>63</v>
      </c>
      <c r="T188" s="68">
        <v>1</v>
      </c>
      <c r="U188" s="68">
        <v>0</v>
      </c>
      <c r="V188" s="24"/>
      <c r="W188" s="24"/>
      <c r="X188" s="24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</row>
    <row r="189" s="2" customFormat="1" customHeight="1" spans="1:40">
      <c r="A189" s="5"/>
      <c r="B189" s="12"/>
      <c r="C189" s="12"/>
      <c r="D189" s="12"/>
      <c r="E189" s="12"/>
      <c r="F189" s="19"/>
      <c r="G189" s="19"/>
      <c r="H189" s="20"/>
      <c r="I189" s="20"/>
      <c r="J189" s="12"/>
      <c r="K189" s="43">
        <f>J188/J185-1</f>
        <v>-0.418378050126974</v>
      </c>
      <c r="L189" s="12"/>
      <c r="M189" s="43">
        <f>L188/E185-1</f>
        <v>-0.5</v>
      </c>
      <c r="N189" s="12"/>
      <c r="O189" s="43">
        <f>N188/K185-1</f>
        <v>-0.0981702496140958</v>
      </c>
      <c r="P189" s="12"/>
      <c r="Q189" s="43">
        <f>P188/L185-1</f>
        <v>-0.571861256327276</v>
      </c>
      <c r="R189" s="12"/>
      <c r="S189" s="43">
        <f>R188/M185-1</f>
        <v>-0.368343195266272</v>
      </c>
      <c r="T189" s="12"/>
      <c r="U189" s="53"/>
      <c r="V189" s="24"/>
      <c r="W189" s="24"/>
      <c r="X189" s="24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</row>
    <row r="190" s="2" customFormat="1" customHeight="1" spans="1:40">
      <c r="A190" s="5"/>
      <c r="B190" s="12"/>
      <c r="C190" s="12"/>
      <c r="D190" s="12"/>
      <c r="E190" s="12"/>
      <c r="F190" s="19"/>
      <c r="G190" s="19"/>
      <c r="H190" s="20"/>
      <c r="I190" s="20"/>
      <c r="J190" s="54" t="s">
        <v>34</v>
      </c>
      <c r="K190" s="55" t="s">
        <v>35</v>
      </c>
      <c r="L190" s="55" t="s">
        <v>36</v>
      </c>
      <c r="M190" s="55" t="s">
        <v>37</v>
      </c>
      <c r="N190" s="55" t="s">
        <v>38</v>
      </c>
      <c r="O190" s="56" t="s">
        <v>39</v>
      </c>
      <c r="P190" s="55" t="s">
        <v>40</v>
      </c>
      <c r="Q190" s="55" t="s">
        <v>41</v>
      </c>
      <c r="R190" s="54" t="s">
        <v>42</v>
      </c>
      <c r="S190" s="54" t="s">
        <v>43</v>
      </c>
      <c r="T190" s="55" t="s">
        <v>64</v>
      </c>
      <c r="U190" s="55" t="s">
        <v>65</v>
      </c>
      <c r="V190" s="24" t="s">
        <v>292</v>
      </c>
      <c r="W190" s="24"/>
      <c r="X190" s="24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</row>
    <row r="191" s="2" customFormat="1" customHeight="1" spans="1:40">
      <c r="A191" s="5"/>
      <c r="B191" s="21" t="s">
        <v>291</v>
      </c>
      <c r="C191" s="12" t="s">
        <v>74</v>
      </c>
      <c r="D191" s="21" t="s">
        <v>68</v>
      </c>
      <c r="E191" s="12" t="s">
        <v>293</v>
      </c>
      <c r="F191" s="13" t="s">
        <v>294</v>
      </c>
      <c r="G191" s="13" t="s">
        <v>295</v>
      </c>
      <c r="H191" s="22">
        <v>45471</v>
      </c>
      <c r="I191" s="13">
        <v>0</v>
      </c>
      <c r="J191" s="12">
        <v>673.2</v>
      </c>
      <c r="K191" s="13">
        <v>4901</v>
      </c>
      <c r="L191" s="13">
        <v>653</v>
      </c>
      <c r="M191" s="13">
        <v>20</v>
      </c>
      <c r="N191" s="46">
        <f t="shared" ref="N191:N203" si="39">M191/L191</f>
        <v>0.0306278713629403</v>
      </c>
      <c r="O191" s="13">
        <v>9</v>
      </c>
      <c r="P191" s="47">
        <f t="shared" ref="P191:P203" si="40">J191/L191</f>
        <v>1.03093415007657</v>
      </c>
      <c r="Q191" s="47">
        <f t="shared" ref="Q191:Q203" si="41">J191/M191</f>
        <v>33.66</v>
      </c>
      <c r="R191" s="13">
        <v>2</v>
      </c>
      <c r="S191" s="13">
        <v>336.6</v>
      </c>
      <c r="T191" s="12" t="s">
        <v>72</v>
      </c>
      <c r="U191" s="12" t="s">
        <v>73</v>
      </c>
      <c r="V191" s="24"/>
      <c r="W191" s="24"/>
      <c r="X191" s="24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</row>
    <row r="192" s="2" customFormat="1" customHeight="1" spans="1:40">
      <c r="A192" s="5"/>
      <c r="B192" s="102"/>
      <c r="C192" s="12" t="s">
        <v>74</v>
      </c>
      <c r="D192" s="23"/>
      <c r="E192" s="12" t="s">
        <v>296</v>
      </c>
      <c r="F192" s="13" t="s">
        <v>83</v>
      </c>
      <c r="G192" s="13" t="s">
        <v>297</v>
      </c>
      <c r="H192" s="22">
        <v>45461</v>
      </c>
      <c r="I192" s="13" t="s">
        <v>146</v>
      </c>
      <c r="J192" s="12">
        <v>1550</v>
      </c>
      <c r="K192" s="13">
        <v>49931</v>
      </c>
      <c r="L192" s="13">
        <v>3521</v>
      </c>
      <c r="M192" s="13">
        <v>126</v>
      </c>
      <c r="N192" s="46">
        <f t="shared" si="39"/>
        <v>0.0357852882703777</v>
      </c>
      <c r="O192" s="13">
        <v>60</v>
      </c>
      <c r="P192" s="47">
        <f t="shared" si="40"/>
        <v>0.44021584777052</v>
      </c>
      <c r="Q192" s="47">
        <f t="shared" si="41"/>
        <v>12.3015873015873</v>
      </c>
      <c r="R192" s="13" t="s">
        <v>146</v>
      </c>
      <c r="S192" s="13" t="s">
        <v>146</v>
      </c>
      <c r="T192" s="12" t="s">
        <v>72</v>
      </c>
      <c r="U192" s="12" t="s">
        <v>78</v>
      </c>
      <c r="V192" s="24"/>
      <c r="W192" s="24"/>
      <c r="X192" s="24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</row>
    <row r="193" s="2" customFormat="1" customHeight="1" spans="1:40">
      <c r="A193" s="5"/>
      <c r="B193" s="102"/>
      <c r="C193" s="12" t="s">
        <v>74</v>
      </c>
      <c r="D193" s="23"/>
      <c r="E193" s="12" t="s">
        <v>298</v>
      </c>
      <c r="F193" s="13" t="s">
        <v>110</v>
      </c>
      <c r="G193" s="13" t="s">
        <v>299</v>
      </c>
      <c r="H193" s="22">
        <v>45451</v>
      </c>
      <c r="I193" s="13">
        <v>0</v>
      </c>
      <c r="J193" s="12">
        <v>880</v>
      </c>
      <c r="K193" s="13">
        <v>16750</v>
      </c>
      <c r="L193" s="13">
        <v>1852</v>
      </c>
      <c r="M193" s="13">
        <v>62</v>
      </c>
      <c r="N193" s="46">
        <f t="shared" si="39"/>
        <v>0.0334773218142549</v>
      </c>
      <c r="O193" s="13">
        <v>43</v>
      </c>
      <c r="P193" s="47">
        <f t="shared" si="40"/>
        <v>0.475161987041037</v>
      </c>
      <c r="Q193" s="47">
        <f t="shared" si="41"/>
        <v>14.1935483870968</v>
      </c>
      <c r="R193" s="13">
        <v>216</v>
      </c>
      <c r="S193" s="13">
        <v>4.07</v>
      </c>
      <c r="T193" s="12" t="s">
        <v>72</v>
      </c>
      <c r="U193" s="12" t="s">
        <v>78</v>
      </c>
      <c r="V193" s="24"/>
      <c r="W193" s="24"/>
      <c r="X193" s="24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</row>
    <row r="194" s="2" customFormat="1" customHeight="1" spans="1:40">
      <c r="A194" s="5"/>
      <c r="B194" s="102"/>
      <c r="C194" s="12" t="s">
        <v>74</v>
      </c>
      <c r="D194" s="23"/>
      <c r="E194" s="12" t="s">
        <v>300</v>
      </c>
      <c r="F194" s="13" t="s">
        <v>301</v>
      </c>
      <c r="G194" s="13" t="s">
        <v>302</v>
      </c>
      <c r="H194" s="22">
        <v>45451</v>
      </c>
      <c r="I194" s="13">
        <v>0</v>
      </c>
      <c r="J194" s="12">
        <v>550</v>
      </c>
      <c r="K194" s="13">
        <v>8997</v>
      </c>
      <c r="L194" s="13">
        <v>1772</v>
      </c>
      <c r="M194" s="13">
        <v>116</v>
      </c>
      <c r="N194" s="46">
        <f t="shared" si="39"/>
        <v>0.0654627539503386</v>
      </c>
      <c r="O194" s="13">
        <v>74</v>
      </c>
      <c r="P194" s="47">
        <f t="shared" si="40"/>
        <v>0.31038374717833</v>
      </c>
      <c r="Q194" s="47">
        <f t="shared" si="41"/>
        <v>4.74137931034483</v>
      </c>
      <c r="R194" s="13">
        <v>56</v>
      </c>
      <c r="S194" s="13">
        <v>9.82</v>
      </c>
      <c r="T194" s="12" t="s">
        <v>72</v>
      </c>
      <c r="U194" s="12" t="s">
        <v>78</v>
      </c>
      <c r="V194" s="24"/>
      <c r="W194" s="24"/>
      <c r="X194" s="24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</row>
    <row r="195" s="2" customFormat="1" customHeight="1" spans="1:40">
      <c r="A195" s="5"/>
      <c r="B195" s="102"/>
      <c r="C195" s="12" t="s">
        <v>74</v>
      </c>
      <c r="D195" s="23"/>
      <c r="E195" s="12" t="s">
        <v>303</v>
      </c>
      <c r="F195" s="13" t="s">
        <v>304</v>
      </c>
      <c r="G195" s="13" t="s">
        <v>305</v>
      </c>
      <c r="H195" s="22">
        <v>45450</v>
      </c>
      <c r="I195" s="13">
        <v>0</v>
      </c>
      <c r="J195" s="12">
        <v>561</v>
      </c>
      <c r="K195" s="13">
        <v>15235</v>
      </c>
      <c r="L195" s="13">
        <v>2521</v>
      </c>
      <c r="M195" s="13">
        <v>103</v>
      </c>
      <c r="N195" s="46">
        <f t="shared" si="39"/>
        <v>0.0408568028560095</v>
      </c>
      <c r="O195" s="13">
        <v>48</v>
      </c>
      <c r="P195" s="47">
        <f t="shared" si="40"/>
        <v>0.222530741769139</v>
      </c>
      <c r="Q195" s="47">
        <f t="shared" si="41"/>
        <v>5.44660194174757</v>
      </c>
      <c r="R195" s="13">
        <v>432</v>
      </c>
      <c r="S195" s="13">
        <v>1.3</v>
      </c>
      <c r="T195" s="12" t="s">
        <v>72</v>
      </c>
      <c r="U195" s="12" t="s">
        <v>78</v>
      </c>
      <c r="V195" s="24"/>
      <c r="W195" s="24"/>
      <c r="X195" s="24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</row>
    <row r="196" s="2" customFormat="1" customHeight="1" spans="1:40">
      <c r="A196" s="5"/>
      <c r="B196" s="102"/>
      <c r="C196" s="26"/>
      <c r="D196" s="27" t="s">
        <v>99</v>
      </c>
      <c r="E196" s="26"/>
      <c r="F196" s="28"/>
      <c r="G196" s="28"/>
      <c r="H196" s="29"/>
      <c r="I196" s="27">
        <f t="shared" ref="I196:M196" si="42">SUM(I191:I195)</f>
        <v>0</v>
      </c>
      <c r="J196" s="27">
        <f t="shared" si="42"/>
        <v>4214.2</v>
      </c>
      <c r="K196" s="27">
        <f t="shared" si="42"/>
        <v>95814</v>
      </c>
      <c r="L196" s="27">
        <f t="shared" si="42"/>
        <v>10319</v>
      </c>
      <c r="M196" s="27">
        <f t="shared" si="42"/>
        <v>427</v>
      </c>
      <c r="N196" s="59">
        <f t="shared" si="39"/>
        <v>0.0413799786801047</v>
      </c>
      <c r="O196" s="27">
        <f>SUM(O191:O195)</f>
        <v>234</v>
      </c>
      <c r="P196" s="60">
        <f t="shared" si="40"/>
        <v>0.408392286074232</v>
      </c>
      <c r="Q196" s="60">
        <f t="shared" si="41"/>
        <v>9.86932084309133</v>
      </c>
      <c r="R196" s="27">
        <f>SUM(R191:R195)</f>
        <v>706</v>
      </c>
      <c r="S196" s="60">
        <f>(J196+I196)/R196</f>
        <v>5.96912181303116</v>
      </c>
      <c r="T196" s="26"/>
      <c r="U196" s="26"/>
      <c r="V196" s="24"/>
      <c r="W196" s="24"/>
      <c r="X196" s="24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</row>
    <row r="197" s="2" customFormat="1" customHeight="1" spans="1:40">
      <c r="A197" s="5"/>
      <c r="B197" s="102"/>
      <c r="C197" s="12" t="s">
        <v>74</v>
      </c>
      <c r="D197" s="12" t="s">
        <v>100</v>
      </c>
      <c r="E197" s="12" t="s">
        <v>306</v>
      </c>
      <c r="F197" s="13" t="s">
        <v>307</v>
      </c>
      <c r="G197" s="13" t="s">
        <v>52</v>
      </c>
      <c r="H197" s="22" t="s">
        <v>52</v>
      </c>
      <c r="I197" s="12"/>
      <c r="J197" s="13">
        <v>644.33</v>
      </c>
      <c r="K197" s="13">
        <v>74475</v>
      </c>
      <c r="L197" s="13">
        <v>15368</v>
      </c>
      <c r="M197" s="13">
        <v>708</v>
      </c>
      <c r="N197" s="46">
        <f t="shared" si="39"/>
        <v>0.0460697553357626</v>
      </c>
      <c r="O197" s="13">
        <v>242</v>
      </c>
      <c r="P197" s="47">
        <f t="shared" si="40"/>
        <v>0.0419267308693389</v>
      </c>
      <c r="Q197" s="47">
        <f t="shared" si="41"/>
        <v>0.910070621468927</v>
      </c>
      <c r="R197" s="72" t="s">
        <v>52</v>
      </c>
      <c r="S197" s="72" t="s">
        <v>52</v>
      </c>
      <c r="T197" s="12"/>
      <c r="U197" s="12"/>
      <c r="V197" s="24"/>
      <c r="W197" s="24"/>
      <c r="X197" s="24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</row>
    <row r="198" s="2" customFormat="1" customHeight="1" spans="1:40">
      <c r="A198" s="5"/>
      <c r="B198" s="102"/>
      <c r="C198" s="12" t="s">
        <v>74</v>
      </c>
      <c r="D198" s="12"/>
      <c r="E198" s="12" t="s">
        <v>308</v>
      </c>
      <c r="F198" s="13" t="s">
        <v>309</v>
      </c>
      <c r="G198" s="13"/>
      <c r="H198" s="22"/>
      <c r="I198" s="12"/>
      <c r="J198" s="13">
        <v>37.8</v>
      </c>
      <c r="K198" s="13">
        <v>521</v>
      </c>
      <c r="L198" s="13">
        <v>28</v>
      </c>
      <c r="M198" s="13">
        <v>9</v>
      </c>
      <c r="N198" s="46">
        <f t="shared" si="39"/>
        <v>0.321428571428571</v>
      </c>
      <c r="O198" s="13">
        <v>7</v>
      </c>
      <c r="P198" s="47">
        <f t="shared" si="40"/>
        <v>1.35</v>
      </c>
      <c r="Q198" s="47">
        <f t="shared" si="41"/>
        <v>4.2</v>
      </c>
      <c r="R198" s="72"/>
      <c r="S198" s="72"/>
      <c r="T198" s="12"/>
      <c r="U198" s="12"/>
      <c r="V198" s="24"/>
      <c r="W198" s="24"/>
      <c r="X198" s="24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</row>
    <row r="199" s="2" customFormat="1" customHeight="1" spans="1:40">
      <c r="A199" s="5"/>
      <c r="B199" s="102"/>
      <c r="C199" s="12" t="s">
        <v>74</v>
      </c>
      <c r="D199" s="12"/>
      <c r="E199" s="12" t="s">
        <v>310</v>
      </c>
      <c r="F199" s="13" t="s">
        <v>311</v>
      </c>
      <c r="G199" s="13"/>
      <c r="H199" s="22"/>
      <c r="I199" s="12"/>
      <c r="J199" s="13">
        <v>14</v>
      </c>
      <c r="K199" s="13">
        <v>123</v>
      </c>
      <c r="L199" s="13">
        <v>7</v>
      </c>
      <c r="M199" s="13">
        <v>1</v>
      </c>
      <c r="N199" s="46">
        <f t="shared" si="39"/>
        <v>0.142857142857143</v>
      </c>
      <c r="O199" s="13">
        <v>1</v>
      </c>
      <c r="P199" s="47">
        <f t="shared" si="40"/>
        <v>2</v>
      </c>
      <c r="Q199" s="47">
        <f t="shared" si="41"/>
        <v>14</v>
      </c>
      <c r="R199" s="72"/>
      <c r="S199" s="72"/>
      <c r="T199" s="12"/>
      <c r="U199" s="12"/>
      <c r="V199" s="24"/>
      <c r="W199" s="24"/>
      <c r="X199" s="24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</row>
    <row r="200" s="2" customFormat="1" customHeight="1" spans="1:40">
      <c r="A200" s="5"/>
      <c r="B200" s="102"/>
      <c r="C200" s="12" t="s">
        <v>74</v>
      </c>
      <c r="D200" s="12"/>
      <c r="E200" s="12" t="s">
        <v>312</v>
      </c>
      <c r="F200" s="13" t="s">
        <v>313</v>
      </c>
      <c r="G200" s="13"/>
      <c r="H200" s="22"/>
      <c r="I200" s="9"/>
      <c r="J200" s="13">
        <v>3</v>
      </c>
      <c r="K200" s="13">
        <v>71</v>
      </c>
      <c r="L200" s="13">
        <v>6</v>
      </c>
      <c r="M200" s="13">
        <v>0</v>
      </c>
      <c r="N200" s="46">
        <f t="shared" si="39"/>
        <v>0</v>
      </c>
      <c r="O200" s="13">
        <v>0</v>
      </c>
      <c r="P200" s="47">
        <f t="shared" si="40"/>
        <v>0.5</v>
      </c>
      <c r="Q200" s="47" t="e">
        <f t="shared" si="41"/>
        <v>#DIV/0!</v>
      </c>
      <c r="R200" s="72"/>
      <c r="S200" s="72"/>
      <c r="T200" s="12"/>
      <c r="U200" s="12"/>
      <c r="V200" s="24"/>
      <c r="W200" s="24"/>
      <c r="X200" s="24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</row>
    <row r="201" s="2" customFormat="1" customHeight="1" spans="1:40">
      <c r="A201" s="5"/>
      <c r="B201" s="102"/>
      <c r="C201" s="12" t="s">
        <v>74</v>
      </c>
      <c r="D201" s="12"/>
      <c r="E201" s="12" t="s">
        <v>296</v>
      </c>
      <c r="F201" s="13" t="s">
        <v>83</v>
      </c>
      <c r="G201" s="13"/>
      <c r="H201" s="22"/>
      <c r="I201" s="9"/>
      <c r="J201" s="13">
        <v>2.75</v>
      </c>
      <c r="K201" s="13">
        <v>92</v>
      </c>
      <c r="L201" s="13">
        <v>9</v>
      </c>
      <c r="M201" s="13">
        <v>1</v>
      </c>
      <c r="N201" s="46">
        <f t="shared" si="39"/>
        <v>0.111111111111111</v>
      </c>
      <c r="O201" s="13">
        <v>0</v>
      </c>
      <c r="P201" s="47">
        <f t="shared" si="40"/>
        <v>0.305555555555556</v>
      </c>
      <c r="Q201" s="47">
        <f t="shared" si="41"/>
        <v>2.75</v>
      </c>
      <c r="R201" s="72"/>
      <c r="S201" s="72"/>
      <c r="T201" s="12"/>
      <c r="U201" s="12"/>
      <c r="V201" s="24"/>
      <c r="W201" s="24"/>
      <c r="X201" s="24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</row>
    <row r="202" s="2" customFormat="1" customHeight="1" spans="1:40">
      <c r="A202" s="5"/>
      <c r="B202" s="102"/>
      <c r="C202" s="27"/>
      <c r="D202" s="27" t="s">
        <v>131</v>
      </c>
      <c r="E202" s="27"/>
      <c r="F202" s="31"/>
      <c r="G202" s="31"/>
      <c r="H202" s="27"/>
      <c r="I202" s="27"/>
      <c r="J202" s="60">
        <f t="shared" ref="J202:M202" si="43">SUM(J197:J201)</f>
        <v>701.88</v>
      </c>
      <c r="K202" s="27">
        <f t="shared" si="43"/>
        <v>75282</v>
      </c>
      <c r="L202" s="27">
        <f t="shared" si="43"/>
        <v>15418</v>
      </c>
      <c r="M202" s="27">
        <f t="shared" si="43"/>
        <v>719</v>
      </c>
      <c r="N202" s="59">
        <f t="shared" si="39"/>
        <v>0.0466338046439227</v>
      </c>
      <c r="O202" s="27">
        <f>SUM(O197:O201)</f>
        <v>250</v>
      </c>
      <c r="P202" s="60">
        <f t="shared" si="40"/>
        <v>0.0455234141912051</v>
      </c>
      <c r="Q202" s="60">
        <f t="shared" si="41"/>
        <v>0.976189151599444</v>
      </c>
      <c r="R202" s="27"/>
      <c r="S202" s="27"/>
      <c r="T202" s="26"/>
      <c r="U202" s="26"/>
      <c r="V202" s="24"/>
      <c r="W202" s="24"/>
      <c r="X202" s="24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</row>
    <row r="203" s="2" customFormat="1" customHeight="1" spans="1:40">
      <c r="A203" s="5"/>
      <c r="B203" s="27" t="s">
        <v>132</v>
      </c>
      <c r="C203" s="27"/>
      <c r="D203" s="27"/>
      <c r="E203" s="27"/>
      <c r="F203" s="31"/>
      <c r="G203" s="31"/>
      <c r="H203" s="27"/>
      <c r="I203" s="27"/>
      <c r="J203" s="27">
        <f t="shared" ref="J203:M203" si="44">J196+J202</f>
        <v>4916.08</v>
      </c>
      <c r="K203" s="27">
        <f t="shared" si="44"/>
        <v>171096</v>
      </c>
      <c r="L203" s="27">
        <f t="shared" si="44"/>
        <v>25737</v>
      </c>
      <c r="M203" s="27">
        <f t="shared" si="44"/>
        <v>1146</v>
      </c>
      <c r="N203" s="59">
        <f t="shared" si="39"/>
        <v>0.0445273341881338</v>
      </c>
      <c r="O203" s="27">
        <f>O196+O202</f>
        <v>484</v>
      </c>
      <c r="P203" s="60">
        <f t="shared" si="40"/>
        <v>0.191012161479582</v>
      </c>
      <c r="Q203" s="60">
        <f t="shared" si="41"/>
        <v>4.28977312390925</v>
      </c>
      <c r="R203" s="27"/>
      <c r="S203" s="27"/>
      <c r="T203" s="27"/>
      <c r="U203" s="27"/>
      <c r="V203" s="24"/>
      <c r="W203" s="24"/>
      <c r="X203" s="24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</row>
    <row r="204" s="2" customFormat="1" customHeight="1" spans="1:40">
      <c r="A204" s="5"/>
      <c r="B204" s="32" t="s">
        <v>133</v>
      </c>
      <c r="C204" s="32"/>
      <c r="D204" s="32"/>
      <c r="E204" s="32"/>
      <c r="F204" s="15" t="s">
        <v>32</v>
      </c>
      <c r="G204" s="15" t="s">
        <v>33</v>
      </c>
      <c r="H204" s="13" t="s">
        <v>52</v>
      </c>
      <c r="I204" s="13"/>
      <c r="J204" s="11" t="s">
        <v>15</v>
      </c>
      <c r="K204" s="11" t="s">
        <v>16</v>
      </c>
      <c r="L204" s="39" t="s">
        <v>17</v>
      </c>
      <c r="M204" s="39"/>
      <c r="N204" s="39" t="s">
        <v>18</v>
      </c>
      <c r="O204" s="39"/>
      <c r="P204" s="39" t="s">
        <v>19</v>
      </c>
      <c r="Q204" s="39"/>
      <c r="R204" s="39" t="s">
        <v>20</v>
      </c>
      <c r="S204" s="39"/>
      <c r="T204" s="39" t="s">
        <v>21</v>
      </c>
      <c r="U204" s="39"/>
      <c r="V204" s="24" t="s">
        <v>134</v>
      </c>
      <c r="W204" s="24"/>
      <c r="X204" s="24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</row>
    <row r="205" s="2" customFormat="1" customHeight="1" spans="1:40">
      <c r="A205" s="5"/>
      <c r="B205" s="32"/>
      <c r="C205" s="32"/>
      <c r="D205" s="32"/>
      <c r="E205" s="32"/>
      <c r="F205" s="13">
        <v>5000</v>
      </c>
      <c r="G205" s="13" t="s">
        <v>52</v>
      </c>
      <c r="H205" s="13"/>
      <c r="I205" s="13"/>
      <c r="J205" s="11"/>
      <c r="K205" s="11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24"/>
      <c r="W205" s="24"/>
      <c r="X205" s="24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</row>
    <row r="206" s="2" customFormat="1" customHeight="1" spans="1:40">
      <c r="A206" s="5"/>
      <c r="B206" s="12" t="s">
        <v>314</v>
      </c>
      <c r="C206" s="12"/>
      <c r="D206" s="12"/>
      <c r="E206" s="12"/>
      <c r="F206" s="13"/>
      <c r="G206" s="13"/>
      <c r="H206" s="13"/>
      <c r="I206" s="13"/>
      <c r="J206" s="12" t="s">
        <v>290</v>
      </c>
      <c r="K206" s="12" t="s">
        <v>291</v>
      </c>
      <c r="L206" s="42">
        <v>5000</v>
      </c>
      <c r="M206" s="53" t="s">
        <v>63</v>
      </c>
      <c r="N206" s="42">
        <v>5</v>
      </c>
      <c r="O206" s="53" t="s">
        <v>63</v>
      </c>
      <c r="P206" s="42">
        <v>110000</v>
      </c>
      <c r="Q206" s="53" t="s">
        <v>63</v>
      </c>
      <c r="R206" s="42">
        <v>12000</v>
      </c>
      <c r="S206" s="53" t="s">
        <v>63</v>
      </c>
      <c r="T206" s="42">
        <v>500</v>
      </c>
      <c r="U206" s="53" t="s">
        <v>63</v>
      </c>
      <c r="V206" s="24" t="s">
        <v>52</v>
      </c>
      <c r="W206" s="12"/>
      <c r="X206" s="12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</row>
    <row r="207" s="2" customFormat="1" customHeight="1" spans="1:40">
      <c r="A207" s="5"/>
      <c r="B207" s="12"/>
      <c r="C207" s="12"/>
      <c r="D207" s="12"/>
      <c r="E207" s="12"/>
      <c r="F207" s="13"/>
      <c r="G207" s="13"/>
      <c r="H207" s="13"/>
      <c r="I207" s="13"/>
      <c r="J207" s="12"/>
      <c r="K207" s="12"/>
      <c r="L207" s="42"/>
      <c r="M207" s="43">
        <f>L206/J196-1</f>
        <v>0.186464809453752</v>
      </c>
      <c r="N207" s="42"/>
      <c r="O207" s="43">
        <f>N206/E186-1</f>
        <v>0</v>
      </c>
      <c r="P207" s="42"/>
      <c r="Q207" s="43">
        <f>P206/K196-1</f>
        <v>0.148057695117624</v>
      </c>
      <c r="R207" s="42"/>
      <c r="S207" s="43">
        <f>R206/L196-1</f>
        <v>0.16290338211067</v>
      </c>
      <c r="T207" s="42"/>
      <c r="U207" s="43">
        <f>T206/M196-1</f>
        <v>0.17096018735363</v>
      </c>
      <c r="V207" s="12"/>
      <c r="W207" s="12"/>
      <c r="X207" s="12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</row>
    <row r="208" s="4" customFormat="1" customHeight="1" spans="1:40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</row>
    <row r="209" s="5" customFormat="1" customHeight="1" spans="6:40">
      <c r="F209" s="33"/>
      <c r="G209" s="3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</row>
    <row r="210" s="2" customFormat="1" customHeight="1" spans="1:40">
      <c r="A210" s="5"/>
      <c r="B210" s="9" t="s">
        <v>14</v>
      </c>
      <c r="C210" s="9"/>
      <c r="D210" s="9"/>
      <c r="E210" s="9"/>
      <c r="F210" s="10"/>
      <c r="G210" s="10"/>
      <c r="H210" s="11"/>
      <c r="I210" s="11"/>
      <c r="J210" s="11" t="s">
        <v>15</v>
      </c>
      <c r="K210" s="11" t="s">
        <v>16</v>
      </c>
      <c r="L210" s="39" t="s">
        <v>17</v>
      </c>
      <c r="M210" s="39"/>
      <c r="N210" s="39" t="s">
        <v>18</v>
      </c>
      <c r="O210" s="39"/>
      <c r="P210" s="39" t="s">
        <v>19</v>
      </c>
      <c r="Q210" s="39"/>
      <c r="R210" s="39" t="s">
        <v>20</v>
      </c>
      <c r="S210" s="39"/>
      <c r="T210" s="39" t="s">
        <v>21</v>
      </c>
      <c r="U210" s="39"/>
      <c r="V210" s="24" t="s">
        <v>134</v>
      </c>
      <c r="W210" s="24"/>
      <c r="X210" s="24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</row>
    <row r="211" s="2" customFormat="1" customHeight="1" spans="1:40">
      <c r="A211" s="5"/>
      <c r="B211" s="9"/>
      <c r="C211" s="9"/>
      <c r="D211" s="9"/>
      <c r="E211" s="9"/>
      <c r="F211" s="10"/>
      <c r="G211" s="10"/>
      <c r="H211" s="11"/>
      <c r="I211" s="11"/>
      <c r="J211" s="11"/>
      <c r="K211" s="11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24"/>
      <c r="W211" s="24"/>
      <c r="X211" s="24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</row>
    <row r="212" s="2" customFormat="1" customHeight="1" spans="1:40">
      <c r="A212" s="5"/>
      <c r="B212" s="30" t="s">
        <v>315</v>
      </c>
      <c r="C212" s="30"/>
      <c r="D212" s="30"/>
      <c r="E212" s="30"/>
      <c r="F212" s="80"/>
      <c r="G212" s="80"/>
      <c r="H212" s="30"/>
      <c r="I212" s="30"/>
      <c r="J212" s="30" t="s">
        <v>217</v>
      </c>
      <c r="K212" s="30" t="s">
        <v>316</v>
      </c>
      <c r="L212" s="40">
        <v>6750</v>
      </c>
      <c r="M212" s="41" t="s">
        <v>26</v>
      </c>
      <c r="N212" s="40">
        <v>3</v>
      </c>
      <c r="O212" s="41" t="s">
        <v>26</v>
      </c>
      <c r="P212" s="40">
        <v>30000</v>
      </c>
      <c r="Q212" s="41" t="s">
        <v>26</v>
      </c>
      <c r="R212" s="40">
        <v>10500</v>
      </c>
      <c r="S212" s="41" t="s">
        <v>26</v>
      </c>
      <c r="T212" s="40">
        <v>500</v>
      </c>
      <c r="U212" s="41" t="s">
        <v>26</v>
      </c>
      <c r="V212" s="89"/>
      <c r="W212" s="30"/>
      <c r="X212" s="30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</row>
    <row r="213" s="2" customFormat="1" customHeight="1" spans="1:40">
      <c r="A213" s="5"/>
      <c r="B213" s="12"/>
      <c r="C213" s="12"/>
      <c r="D213" s="12"/>
      <c r="E213" s="12"/>
      <c r="F213" s="13"/>
      <c r="G213" s="13"/>
      <c r="H213" s="12"/>
      <c r="I213" s="12"/>
      <c r="J213" s="12"/>
      <c r="K213" s="12"/>
      <c r="L213" s="42"/>
      <c r="M213" s="43">
        <f>J217/L212-1</f>
        <v>-0.345703703703704</v>
      </c>
      <c r="N213" s="42"/>
      <c r="O213" s="43">
        <f>E217/N212-1</f>
        <v>0.333333333333333</v>
      </c>
      <c r="P213" s="42"/>
      <c r="Q213" s="43">
        <f>K217/P212-1</f>
        <v>2.23076666666667</v>
      </c>
      <c r="R213" s="42"/>
      <c r="S213" s="43">
        <f>L217/R212-1</f>
        <v>2.58961904761905</v>
      </c>
      <c r="T213" s="42"/>
      <c r="U213" s="43">
        <f>M217/T212-1</f>
        <v>0.446</v>
      </c>
      <c r="V213" s="12"/>
      <c r="W213" s="12"/>
      <c r="X213" s="12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</row>
    <row r="214" s="2" customFormat="1" customHeight="1" spans="1:40">
      <c r="A214" s="5"/>
      <c r="B214" s="14" t="s">
        <v>28</v>
      </c>
      <c r="C214" s="14" t="s">
        <v>29</v>
      </c>
      <c r="D214" s="14" t="s">
        <v>30</v>
      </c>
      <c r="E214" s="14" t="s">
        <v>31</v>
      </c>
      <c r="F214" s="15" t="s">
        <v>32</v>
      </c>
      <c r="G214" s="15" t="s">
        <v>33</v>
      </c>
      <c r="H214" s="14"/>
      <c r="I214" s="14"/>
      <c r="J214" s="14" t="s">
        <v>34</v>
      </c>
      <c r="K214" s="14" t="s">
        <v>35</v>
      </c>
      <c r="L214" s="14" t="s">
        <v>36</v>
      </c>
      <c r="M214" s="14" t="s">
        <v>37</v>
      </c>
      <c r="N214" s="91" t="s">
        <v>38</v>
      </c>
      <c r="O214" s="91" t="s">
        <v>39</v>
      </c>
      <c r="P214" s="91" t="s">
        <v>40</v>
      </c>
      <c r="Q214" s="91" t="s">
        <v>41</v>
      </c>
      <c r="R214" s="91" t="s">
        <v>42</v>
      </c>
      <c r="S214" s="91" t="s">
        <v>43</v>
      </c>
      <c r="T214" s="91" t="s">
        <v>44</v>
      </c>
      <c r="U214" s="92" t="s">
        <v>45</v>
      </c>
      <c r="V214" s="65" t="s">
        <v>46</v>
      </c>
      <c r="W214" s="65" t="s">
        <v>47</v>
      </c>
      <c r="X214" s="65" t="s">
        <v>48</v>
      </c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</row>
    <row r="215" s="2" customFormat="1" customHeight="1" spans="1:40">
      <c r="A215" s="5"/>
      <c r="B215" s="12" t="s">
        <v>49</v>
      </c>
      <c r="C215" s="12">
        <v>15000</v>
      </c>
      <c r="D215" s="12" t="s">
        <v>316</v>
      </c>
      <c r="E215" s="12">
        <v>10</v>
      </c>
      <c r="F215" s="13">
        <v>7500</v>
      </c>
      <c r="G215" s="13">
        <v>7500</v>
      </c>
      <c r="H215" s="12"/>
      <c r="I215" s="12"/>
      <c r="J215" s="12">
        <v>5868.2</v>
      </c>
      <c r="K215" s="12">
        <v>156240</v>
      </c>
      <c r="L215" s="42">
        <v>52341</v>
      </c>
      <c r="M215" s="42">
        <v>1634</v>
      </c>
      <c r="N215" s="46">
        <v>0.0312</v>
      </c>
      <c r="O215" s="42">
        <v>802</v>
      </c>
      <c r="P215" s="48">
        <v>0.11</v>
      </c>
      <c r="Q215" s="48">
        <v>3.59</v>
      </c>
      <c r="R215" s="42">
        <v>1183</v>
      </c>
      <c r="S215" s="48">
        <v>9.82</v>
      </c>
      <c r="T215" s="12">
        <v>1</v>
      </c>
      <c r="U215" s="46">
        <v>0.1</v>
      </c>
      <c r="V215" s="46" t="s">
        <v>317</v>
      </c>
      <c r="W215" s="46">
        <v>0.2</v>
      </c>
      <c r="X215" s="119">
        <v>10</v>
      </c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</row>
    <row r="216" s="2" customFormat="1" customHeight="1" spans="1:40">
      <c r="A216" s="5"/>
      <c r="B216" s="12" t="s">
        <v>50</v>
      </c>
      <c r="C216" s="12">
        <v>18000</v>
      </c>
      <c r="D216" s="12" t="s">
        <v>316</v>
      </c>
      <c r="E216" s="12">
        <v>14</v>
      </c>
      <c r="F216" s="13">
        <v>9000</v>
      </c>
      <c r="G216" s="13">
        <v>9000</v>
      </c>
      <c r="H216" s="12"/>
      <c r="I216" s="12"/>
      <c r="J216" s="12">
        <v>10331.4</v>
      </c>
      <c r="K216" s="12">
        <v>142947</v>
      </c>
      <c r="L216" s="42">
        <v>49367</v>
      </c>
      <c r="M216" s="42">
        <v>2384</v>
      </c>
      <c r="N216" s="46">
        <v>0.0482913687280977</v>
      </c>
      <c r="O216" s="42">
        <v>1190</v>
      </c>
      <c r="P216" s="48">
        <v>0.209277452549274</v>
      </c>
      <c r="Q216" s="48">
        <v>4.33364093959732</v>
      </c>
      <c r="R216" s="42">
        <v>362</v>
      </c>
      <c r="S216" s="48">
        <v>31.4897513812155</v>
      </c>
      <c r="T216" s="12">
        <v>0</v>
      </c>
      <c r="U216" s="12">
        <v>0</v>
      </c>
      <c r="V216" s="68">
        <f>T219</f>
        <v>1</v>
      </c>
      <c r="W216" s="68">
        <f>U219</f>
        <v>0</v>
      </c>
      <c r="X216" s="24">
        <f>E216</f>
        <v>14</v>
      </c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</row>
    <row r="217" s="2" customFormat="1" customHeight="1" spans="1:40">
      <c r="A217" s="5"/>
      <c r="B217" s="12" t="s">
        <v>51</v>
      </c>
      <c r="C217" s="12"/>
      <c r="D217" s="12" t="s">
        <v>316</v>
      </c>
      <c r="E217" s="12">
        <v>4</v>
      </c>
      <c r="F217" s="13">
        <v>6750</v>
      </c>
      <c r="G217" s="13">
        <v>6750</v>
      </c>
      <c r="H217" s="12"/>
      <c r="I217" s="12"/>
      <c r="J217" s="12">
        <v>4416.5</v>
      </c>
      <c r="K217" s="12">
        <v>96923</v>
      </c>
      <c r="L217" s="42">
        <v>37691</v>
      </c>
      <c r="M217" s="42">
        <v>723</v>
      </c>
      <c r="N217" s="46">
        <v>0.0191822981613648</v>
      </c>
      <c r="O217" s="42">
        <v>471</v>
      </c>
      <c r="P217" s="48">
        <v>0.11717651428723</v>
      </c>
      <c r="Q217" s="48">
        <v>6.10857538035961</v>
      </c>
      <c r="R217" s="42">
        <v>644</v>
      </c>
      <c r="S217" s="48">
        <v>6.85791925465839</v>
      </c>
      <c r="T217" s="12">
        <v>0</v>
      </c>
      <c r="U217" s="12">
        <v>0</v>
      </c>
      <c r="V217" s="68">
        <v>1</v>
      </c>
      <c r="W217" s="68">
        <v>0</v>
      </c>
      <c r="X217" s="24">
        <v>4</v>
      </c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</row>
    <row r="218" s="2" customFormat="1" customHeight="1" spans="1:40">
      <c r="A218" s="5"/>
      <c r="B218" s="9" t="s">
        <v>53</v>
      </c>
      <c r="C218" s="9"/>
      <c r="D218" s="9"/>
      <c r="E218" s="9"/>
      <c r="F218" s="18"/>
      <c r="G218" s="18"/>
      <c r="H218" s="9"/>
      <c r="I218" s="9"/>
      <c r="J218" s="9" t="s">
        <v>54</v>
      </c>
      <c r="K218" s="9"/>
      <c r="L218" s="11" t="s">
        <v>31</v>
      </c>
      <c r="M218" s="11"/>
      <c r="N218" s="11" t="s">
        <v>35</v>
      </c>
      <c r="O218" s="11"/>
      <c r="P218" s="11" t="s">
        <v>36</v>
      </c>
      <c r="Q218" s="11"/>
      <c r="R218" s="11" t="s">
        <v>37</v>
      </c>
      <c r="S218" s="11"/>
      <c r="T218" s="9" t="s">
        <v>46</v>
      </c>
      <c r="U218" s="9" t="s">
        <v>47</v>
      </c>
      <c r="V218" s="24" t="s">
        <v>55</v>
      </c>
      <c r="W218" s="24"/>
      <c r="X218" s="24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</row>
    <row r="219" s="2" customFormat="1" customHeight="1" spans="1:40">
      <c r="A219" s="5"/>
      <c r="B219" s="12" t="s">
        <v>56</v>
      </c>
      <c r="C219" s="12" t="s">
        <v>57</v>
      </c>
      <c r="D219" s="12"/>
      <c r="E219" s="12" t="s">
        <v>58</v>
      </c>
      <c r="F219" s="19" t="s">
        <v>59</v>
      </c>
      <c r="G219" s="19" t="s">
        <v>60</v>
      </c>
      <c r="H219" s="20" t="s">
        <v>61</v>
      </c>
      <c r="I219" s="20" t="s">
        <v>62</v>
      </c>
      <c r="J219" s="12">
        <f>J226</f>
        <v>4416.5</v>
      </c>
      <c r="K219" s="53" t="s">
        <v>63</v>
      </c>
      <c r="L219" s="12">
        <v>4</v>
      </c>
      <c r="M219" s="53" t="s">
        <v>63</v>
      </c>
      <c r="N219" s="12">
        <f>K226</f>
        <v>96923</v>
      </c>
      <c r="O219" s="53" t="s">
        <v>63</v>
      </c>
      <c r="P219" s="12">
        <f>L226</f>
        <v>37691</v>
      </c>
      <c r="Q219" s="53" t="s">
        <v>63</v>
      </c>
      <c r="R219" s="12">
        <f>M226</f>
        <v>723</v>
      </c>
      <c r="S219" s="53" t="s">
        <v>63</v>
      </c>
      <c r="T219" s="68">
        <v>1</v>
      </c>
      <c r="U219" s="68">
        <v>0</v>
      </c>
      <c r="V219" s="24"/>
      <c r="W219" s="24"/>
      <c r="X219" s="24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</row>
    <row r="220" s="2" customFormat="1" customHeight="1" spans="1:40">
      <c r="A220" s="5"/>
      <c r="B220" s="12"/>
      <c r="C220" s="12"/>
      <c r="D220" s="12"/>
      <c r="E220" s="12"/>
      <c r="F220" s="19"/>
      <c r="G220" s="19"/>
      <c r="H220" s="20"/>
      <c r="I220" s="20"/>
      <c r="J220" s="12"/>
      <c r="K220" s="43">
        <f>J219/J216-1</f>
        <v>-0.572516793464584</v>
      </c>
      <c r="L220" s="12"/>
      <c r="M220" s="43">
        <f>L219/E216-1</f>
        <v>-0.714285714285714</v>
      </c>
      <c r="N220" s="12"/>
      <c r="O220" s="43">
        <f>N219/K216-1</f>
        <v>-0.321965483710746</v>
      </c>
      <c r="P220" s="12"/>
      <c r="Q220" s="43">
        <f>P219/L216-1</f>
        <v>-0.23651427066664</v>
      </c>
      <c r="R220" s="12"/>
      <c r="S220" s="43">
        <f>R219/M216-1</f>
        <v>-0.696728187919463</v>
      </c>
      <c r="T220" s="12"/>
      <c r="U220" s="53"/>
      <c r="V220" s="24"/>
      <c r="W220" s="24"/>
      <c r="X220" s="24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</row>
    <row r="221" s="2" customFormat="1" customHeight="1" spans="1:40">
      <c r="A221" s="5"/>
      <c r="B221" s="12"/>
      <c r="C221" s="12"/>
      <c r="D221" s="12"/>
      <c r="E221" s="12"/>
      <c r="F221" s="19"/>
      <c r="G221" s="19"/>
      <c r="H221" s="20"/>
      <c r="I221" s="20"/>
      <c r="J221" s="54" t="s">
        <v>34</v>
      </c>
      <c r="K221" s="55" t="s">
        <v>35</v>
      </c>
      <c r="L221" s="55" t="s">
        <v>36</v>
      </c>
      <c r="M221" s="55" t="s">
        <v>37</v>
      </c>
      <c r="N221" s="55" t="s">
        <v>38</v>
      </c>
      <c r="O221" s="56" t="s">
        <v>39</v>
      </c>
      <c r="P221" s="55" t="s">
        <v>40</v>
      </c>
      <c r="Q221" s="55" t="s">
        <v>41</v>
      </c>
      <c r="R221" s="54" t="s">
        <v>42</v>
      </c>
      <c r="S221" s="54" t="s">
        <v>43</v>
      </c>
      <c r="T221" s="55" t="s">
        <v>64</v>
      </c>
      <c r="U221" s="55" t="s">
        <v>65</v>
      </c>
      <c r="V221" s="24" t="s">
        <v>318</v>
      </c>
      <c r="W221" s="24"/>
      <c r="X221" s="24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</row>
    <row r="222" s="2" customFormat="1" customHeight="1" spans="1:40">
      <c r="A222" s="5"/>
      <c r="B222" s="21" t="s">
        <v>316</v>
      </c>
      <c r="C222" s="12" t="s">
        <v>74</v>
      </c>
      <c r="D222" s="12" t="s">
        <v>68</v>
      </c>
      <c r="E222" s="12" t="s">
        <v>319</v>
      </c>
      <c r="F222" s="13" t="s">
        <v>320</v>
      </c>
      <c r="G222" s="13" t="s">
        <v>321</v>
      </c>
      <c r="H222" s="22">
        <v>45472</v>
      </c>
      <c r="I222" s="13" t="s">
        <v>146</v>
      </c>
      <c r="J222" s="12">
        <v>1683</v>
      </c>
      <c r="K222" s="13">
        <v>7261</v>
      </c>
      <c r="L222" s="13">
        <v>3504</v>
      </c>
      <c r="M222" s="13">
        <v>88</v>
      </c>
      <c r="N222" s="46">
        <f t="shared" ref="N222:N233" si="45">M222/L222</f>
        <v>0.0251141552511416</v>
      </c>
      <c r="O222" s="13">
        <v>46</v>
      </c>
      <c r="P222" s="47">
        <f t="shared" ref="P222:P233" si="46">J222/L222</f>
        <v>0.480308219178082</v>
      </c>
      <c r="Q222" s="47">
        <f t="shared" ref="Q222:Q233" si="47">J222/M222</f>
        <v>19.125</v>
      </c>
      <c r="R222" s="13" t="s">
        <v>146</v>
      </c>
      <c r="S222" s="13" t="s">
        <v>146</v>
      </c>
      <c r="T222" s="12" t="s">
        <v>72</v>
      </c>
      <c r="U222" s="12" t="s">
        <v>322</v>
      </c>
      <c r="V222" s="24"/>
      <c r="W222" s="24"/>
      <c r="X222" s="24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</row>
    <row r="223" s="2" customFormat="1" customHeight="1" spans="1:40">
      <c r="A223" s="5"/>
      <c r="B223" s="102"/>
      <c r="C223" s="12" t="s">
        <v>74</v>
      </c>
      <c r="D223" s="12"/>
      <c r="E223" s="12" t="s">
        <v>323</v>
      </c>
      <c r="F223" s="13" t="s">
        <v>324</v>
      </c>
      <c r="G223" s="13" t="s">
        <v>325</v>
      </c>
      <c r="H223" s="22">
        <v>45460</v>
      </c>
      <c r="I223" s="13">
        <v>0</v>
      </c>
      <c r="J223" s="12">
        <v>297</v>
      </c>
      <c r="K223" s="13">
        <v>1441</v>
      </c>
      <c r="L223" s="13">
        <v>234</v>
      </c>
      <c r="M223" s="13">
        <v>109</v>
      </c>
      <c r="N223" s="46">
        <f t="shared" si="45"/>
        <v>0.465811965811966</v>
      </c>
      <c r="O223" s="13">
        <v>81</v>
      </c>
      <c r="P223" s="47">
        <f t="shared" si="46"/>
        <v>1.26923076923077</v>
      </c>
      <c r="Q223" s="47">
        <f t="shared" si="47"/>
        <v>2.72477064220183</v>
      </c>
      <c r="R223" s="13">
        <v>5</v>
      </c>
      <c r="S223" s="13">
        <v>59.4</v>
      </c>
      <c r="T223" s="12" t="s">
        <v>72</v>
      </c>
      <c r="U223" s="12" t="s">
        <v>78</v>
      </c>
      <c r="V223" s="24"/>
      <c r="W223" s="24"/>
      <c r="X223" s="24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</row>
    <row r="224" s="2" customFormat="1" customHeight="1" spans="1:40">
      <c r="A224" s="5"/>
      <c r="B224" s="102"/>
      <c r="C224" s="12" t="s">
        <v>74</v>
      </c>
      <c r="D224" s="12"/>
      <c r="E224" s="12" t="s">
        <v>326</v>
      </c>
      <c r="F224" s="13" t="s">
        <v>327</v>
      </c>
      <c r="G224" s="13" t="s">
        <v>328</v>
      </c>
      <c r="H224" s="22">
        <v>45455</v>
      </c>
      <c r="I224" s="13">
        <v>0</v>
      </c>
      <c r="J224" s="12">
        <v>1782</v>
      </c>
      <c r="K224" s="13">
        <v>44654</v>
      </c>
      <c r="L224" s="13">
        <v>19793</v>
      </c>
      <c r="M224" s="13">
        <v>250</v>
      </c>
      <c r="N224" s="46">
        <f t="shared" si="45"/>
        <v>0.0126307280351639</v>
      </c>
      <c r="O224" s="13">
        <v>187</v>
      </c>
      <c r="P224" s="47">
        <f t="shared" si="46"/>
        <v>0.0900318294346486</v>
      </c>
      <c r="Q224" s="47">
        <f t="shared" si="47"/>
        <v>7.128</v>
      </c>
      <c r="R224" s="13">
        <v>59</v>
      </c>
      <c r="S224" s="13">
        <v>30.2</v>
      </c>
      <c r="T224" s="12" t="s">
        <v>72</v>
      </c>
      <c r="U224" s="12" t="s">
        <v>322</v>
      </c>
      <c r="V224" s="24"/>
      <c r="W224" s="24"/>
      <c r="X224" s="24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</row>
    <row r="225" s="2" customFormat="1" customHeight="1" spans="1:40">
      <c r="A225" s="5"/>
      <c r="B225" s="102"/>
      <c r="C225" s="12" t="s">
        <v>74</v>
      </c>
      <c r="D225" s="12"/>
      <c r="E225" s="12" t="s">
        <v>329</v>
      </c>
      <c r="F225" s="13" t="s">
        <v>330</v>
      </c>
      <c r="G225" s="13" t="s">
        <v>331</v>
      </c>
      <c r="H225" s="22">
        <v>45450</v>
      </c>
      <c r="I225" s="13">
        <v>0</v>
      </c>
      <c r="J225" s="12">
        <v>654.5</v>
      </c>
      <c r="K225" s="13">
        <v>43567</v>
      </c>
      <c r="L225" s="13">
        <v>14160</v>
      </c>
      <c r="M225" s="13">
        <v>276</v>
      </c>
      <c r="N225" s="46">
        <f t="shared" si="45"/>
        <v>0.0194915254237288</v>
      </c>
      <c r="O225" s="13">
        <v>157</v>
      </c>
      <c r="P225" s="47">
        <f t="shared" si="46"/>
        <v>0.0462217514124294</v>
      </c>
      <c r="Q225" s="47">
        <f t="shared" si="47"/>
        <v>2.3713768115942</v>
      </c>
      <c r="R225" s="13">
        <v>580</v>
      </c>
      <c r="S225" s="13">
        <v>1.13</v>
      </c>
      <c r="T225" s="12" t="s">
        <v>72</v>
      </c>
      <c r="U225" s="12" t="s">
        <v>322</v>
      </c>
      <c r="V225" s="24"/>
      <c r="W225" s="24"/>
      <c r="X225" s="24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</row>
    <row r="226" s="2" customFormat="1" customHeight="1" spans="1:40">
      <c r="A226" s="5"/>
      <c r="B226" s="102"/>
      <c r="C226" s="26"/>
      <c r="D226" s="27" t="s">
        <v>99</v>
      </c>
      <c r="E226" s="26"/>
      <c r="F226" s="28"/>
      <c r="G226" s="28"/>
      <c r="H226" s="29"/>
      <c r="I226" s="27">
        <f t="shared" ref="I226:M226" si="48">SUM(I222:I225)</f>
        <v>0</v>
      </c>
      <c r="J226" s="27">
        <f t="shared" si="48"/>
        <v>4416.5</v>
      </c>
      <c r="K226" s="27">
        <f t="shared" si="48"/>
        <v>96923</v>
      </c>
      <c r="L226" s="27">
        <f t="shared" si="48"/>
        <v>37691</v>
      </c>
      <c r="M226" s="27">
        <f t="shared" si="48"/>
        <v>723</v>
      </c>
      <c r="N226" s="59">
        <f t="shared" si="45"/>
        <v>0.0191822981613648</v>
      </c>
      <c r="O226" s="27">
        <f>SUM(O222:O225)</f>
        <v>471</v>
      </c>
      <c r="P226" s="60">
        <f t="shared" si="46"/>
        <v>0.11717651428723</v>
      </c>
      <c r="Q226" s="60">
        <f t="shared" si="47"/>
        <v>6.10857538035961</v>
      </c>
      <c r="R226" s="27">
        <f>SUM(R222:R225)</f>
        <v>644</v>
      </c>
      <c r="S226" s="60">
        <f>(J226+I226)/R226</f>
        <v>6.85791925465838</v>
      </c>
      <c r="T226" s="26"/>
      <c r="U226" s="26"/>
      <c r="V226" s="24"/>
      <c r="W226" s="24"/>
      <c r="X226" s="24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</row>
    <row r="227" s="2" customFormat="1" customHeight="1" spans="1:40">
      <c r="A227" s="5"/>
      <c r="B227" s="102"/>
      <c r="C227" s="12" t="s">
        <v>74</v>
      </c>
      <c r="D227" s="12" t="s">
        <v>100</v>
      </c>
      <c r="E227" s="12" t="s">
        <v>332</v>
      </c>
      <c r="F227" s="13" t="s">
        <v>333</v>
      </c>
      <c r="G227" s="13" t="s">
        <v>52</v>
      </c>
      <c r="H227" s="22" t="s">
        <v>52</v>
      </c>
      <c r="I227" s="12"/>
      <c r="J227" s="13">
        <v>20.76</v>
      </c>
      <c r="K227" s="13">
        <v>119</v>
      </c>
      <c r="L227" s="13">
        <v>18</v>
      </c>
      <c r="M227" s="13">
        <v>14</v>
      </c>
      <c r="N227" s="46">
        <f t="shared" si="45"/>
        <v>0.777777777777778</v>
      </c>
      <c r="O227" s="13">
        <v>7</v>
      </c>
      <c r="P227" s="47">
        <f t="shared" si="46"/>
        <v>1.15333333333333</v>
      </c>
      <c r="Q227" s="47">
        <f t="shared" si="47"/>
        <v>1.48285714285714</v>
      </c>
      <c r="R227" s="72" t="s">
        <v>52</v>
      </c>
      <c r="S227" s="72" t="s">
        <v>52</v>
      </c>
      <c r="T227" s="12"/>
      <c r="U227" s="12"/>
      <c r="V227" s="24"/>
      <c r="W227" s="24"/>
      <c r="X227" s="24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</row>
    <row r="228" s="2" customFormat="1" customHeight="1" spans="1:40">
      <c r="A228" s="5"/>
      <c r="B228" s="102"/>
      <c r="C228" s="12" t="s">
        <v>74</v>
      </c>
      <c r="D228" s="12"/>
      <c r="E228" s="12" t="s">
        <v>334</v>
      </c>
      <c r="F228" s="13" t="s">
        <v>335</v>
      </c>
      <c r="G228" s="13"/>
      <c r="H228" s="22"/>
      <c r="I228" s="12"/>
      <c r="J228" s="13">
        <v>88.18</v>
      </c>
      <c r="K228" s="13">
        <v>610</v>
      </c>
      <c r="L228" s="13">
        <v>107</v>
      </c>
      <c r="M228" s="13">
        <v>42</v>
      </c>
      <c r="N228" s="46">
        <f t="shared" si="45"/>
        <v>0.392523364485981</v>
      </c>
      <c r="O228" s="13">
        <v>27</v>
      </c>
      <c r="P228" s="47">
        <f t="shared" si="46"/>
        <v>0.82411214953271</v>
      </c>
      <c r="Q228" s="47">
        <f t="shared" si="47"/>
        <v>2.09952380952381</v>
      </c>
      <c r="R228" s="72"/>
      <c r="S228" s="72"/>
      <c r="T228" s="12"/>
      <c r="U228" s="12"/>
      <c r="V228" s="24"/>
      <c r="W228" s="24"/>
      <c r="X228" s="24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</row>
    <row r="229" s="2" customFormat="1" customHeight="1" spans="1:40">
      <c r="A229" s="5"/>
      <c r="B229" s="102"/>
      <c r="C229" s="12" t="s">
        <v>74</v>
      </c>
      <c r="D229" s="12"/>
      <c r="E229" s="12" t="s">
        <v>336</v>
      </c>
      <c r="F229" s="13" t="s">
        <v>337</v>
      </c>
      <c r="G229" s="13"/>
      <c r="H229" s="22"/>
      <c r="I229" s="12"/>
      <c r="J229" s="13">
        <v>371.12</v>
      </c>
      <c r="K229" s="13">
        <v>1593</v>
      </c>
      <c r="L229" s="13">
        <v>459</v>
      </c>
      <c r="M229" s="13">
        <v>295</v>
      </c>
      <c r="N229" s="46">
        <f t="shared" si="45"/>
        <v>0.642701525054466</v>
      </c>
      <c r="O229" s="13">
        <v>240</v>
      </c>
      <c r="P229" s="47">
        <f t="shared" si="46"/>
        <v>0.808540305010893</v>
      </c>
      <c r="Q229" s="47">
        <f t="shared" si="47"/>
        <v>1.25803389830508</v>
      </c>
      <c r="R229" s="72"/>
      <c r="S229" s="72"/>
      <c r="T229" s="12"/>
      <c r="U229" s="12"/>
      <c r="V229" s="24"/>
      <c r="W229" s="24"/>
      <c r="X229" s="24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</row>
    <row r="230" s="2" customFormat="1" customHeight="1" spans="1:40">
      <c r="A230" s="5"/>
      <c r="B230" s="102"/>
      <c r="C230" s="12" t="s">
        <v>74</v>
      </c>
      <c r="D230" s="12"/>
      <c r="E230" s="12" t="s">
        <v>338</v>
      </c>
      <c r="F230" s="13" t="s">
        <v>339</v>
      </c>
      <c r="G230" s="13"/>
      <c r="H230" s="22"/>
      <c r="I230" s="9"/>
      <c r="J230" s="13">
        <v>1343.69</v>
      </c>
      <c r="K230" s="13">
        <v>4547</v>
      </c>
      <c r="L230" s="13">
        <v>866</v>
      </c>
      <c r="M230" s="13">
        <v>1373</v>
      </c>
      <c r="N230" s="46">
        <f t="shared" si="45"/>
        <v>1.58545034642032</v>
      </c>
      <c r="O230" s="13">
        <v>960</v>
      </c>
      <c r="P230" s="47">
        <f t="shared" si="46"/>
        <v>1.55160508083141</v>
      </c>
      <c r="Q230" s="47">
        <f t="shared" si="47"/>
        <v>0.978652585579024</v>
      </c>
      <c r="R230" s="72"/>
      <c r="S230" s="72"/>
      <c r="T230" s="12"/>
      <c r="U230" s="12"/>
      <c r="V230" s="24"/>
      <c r="W230" s="24"/>
      <c r="X230" s="24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</row>
    <row r="231" s="2" customFormat="1" customHeight="1" spans="1:40">
      <c r="A231" s="5"/>
      <c r="B231" s="102"/>
      <c r="C231" s="12" t="s">
        <v>74</v>
      </c>
      <c r="D231" s="12"/>
      <c r="E231" s="12" t="s">
        <v>340</v>
      </c>
      <c r="F231" s="13" t="s">
        <v>341</v>
      </c>
      <c r="G231" s="13"/>
      <c r="H231" s="22"/>
      <c r="I231" s="9"/>
      <c r="J231" s="13">
        <v>895.65</v>
      </c>
      <c r="K231" s="13">
        <v>30076</v>
      </c>
      <c r="L231" s="13">
        <v>2487</v>
      </c>
      <c r="M231" s="13">
        <v>339</v>
      </c>
      <c r="N231" s="46">
        <f t="shared" si="45"/>
        <v>0.136308805790109</v>
      </c>
      <c r="O231" s="13">
        <v>147</v>
      </c>
      <c r="P231" s="47">
        <f t="shared" si="46"/>
        <v>0.360132689987937</v>
      </c>
      <c r="Q231" s="47">
        <f t="shared" si="47"/>
        <v>2.64203539823009</v>
      </c>
      <c r="R231" s="72"/>
      <c r="S231" s="72"/>
      <c r="T231" s="12"/>
      <c r="U231" s="12"/>
      <c r="V231" s="24"/>
      <c r="W231" s="24"/>
      <c r="X231" s="24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</row>
    <row r="232" s="2" customFormat="1" customHeight="1" spans="1:40">
      <c r="A232" s="5"/>
      <c r="B232" s="102"/>
      <c r="C232" s="27"/>
      <c r="D232" s="27" t="s">
        <v>131</v>
      </c>
      <c r="E232" s="27"/>
      <c r="F232" s="31"/>
      <c r="G232" s="31"/>
      <c r="H232" s="27"/>
      <c r="I232" s="27"/>
      <c r="J232" s="60">
        <f t="shared" ref="J232:M232" si="49">SUM(J227:J231)</f>
        <v>2719.4</v>
      </c>
      <c r="K232" s="27">
        <f t="shared" si="49"/>
        <v>36945</v>
      </c>
      <c r="L232" s="27">
        <f t="shared" si="49"/>
        <v>3937</v>
      </c>
      <c r="M232" s="27">
        <f t="shared" si="49"/>
        <v>2063</v>
      </c>
      <c r="N232" s="59">
        <f t="shared" si="45"/>
        <v>0.524003048006096</v>
      </c>
      <c r="O232" s="27">
        <f>SUM(O227:O231)</f>
        <v>1381</v>
      </c>
      <c r="P232" s="60">
        <f t="shared" si="46"/>
        <v>0.690728981457963</v>
      </c>
      <c r="Q232" s="60">
        <f t="shared" si="47"/>
        <v>1.3181774115366</v>
      </c>
      <c r="R232" s="27"/>
      <c r="S232" s="27"/>
      <c r="T232" s="26"/>
      <c r="U232" s="26"/>
      <c r="V232" s="24"/>
      <c r="W232" s="24"/>
      <c r="X232" s="24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</row>
    <row r="233" s="2" customFormat="1" customHeight="1" spans="1:40">
      <c r="A233" s="5"/>
      <c r="B233" s="27" t="s">
        <v>132</v>
      </c>
      <c r="C233" s="27"/>
      <c r="D233" s="27"/>
      <c r="E233" s="27"/>
      <c r="F233" s="31"/>
      <c r="G233" s="31"/>
      <c r="H233" s="27"/>
      <c r="I233" s="27"/>
      <c r="J233" s="27">
        <f t="shared" ref="J233:M233" si="50">J226+J232</f>
        <v>7135.9</v>
      </c>
      <c r="K233" s="27">
        <f t="shared" si="50"/>
        <v>133868</v>
      </c>
      <c r="L233" s="27">
        <f t="shared" si="50"/>
        <v>41628</v>
      </c>
      <c r="M233" s="27">
        <f t="shared" si="50"/>
        <v>2786</v>
      </c>
      <c r="N233" s="59">
        <f t="shared" si="45"/>
        <v>0.0669261074276929</v>
      </c>
      <c r="O233" s="27">
        <f>O226+O232</f>
        <v>1852</v>
      </c>
      <c r="P233" s="60">
        <f t="shared" si="46"/>
        <v>0.171420678389545</v>
      </c>
      <c r="Q233" s="60">
        <f t="shared" si="47"/>
        <v>2.5613424264178</v>
      </c>
      <c r="R233" s="27"/>
      <c r="S233" s="27"/>
      <c r="T233" s="27"/>
      <c r="U233" s="27"/>
      <c r="V233" s="24"/>
      <c r="W233" s="24"/>
      <c r="X233" s="24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</row>
    <row r="234" s="2" customFormat="1" customHeight="1" spans="1:40">
      <c r="A234" s="5"/>
      <c r="B234" s="32" t="s">
        <v>133</v>
      </c>
      <c r="C234" s="32"/>
      <c r="D234" s="32"/>
      <c r="E234" s="32"/>
      <c r="F234" s="15" t="s">
        <v>32</v>
      </c>
      <c r="G234" s="15" t="s">
        <v>33</v>
      </c>
      <c r="H234" s="13" t="s">
        <v>52</v>
      </c>
      <c r="I234" s="13"/>
      <c r="J234" s="11" t="s">
        <v>15</v>
      </c>
      <c r="K234" s="11" t="s">
        <v>16</v>
      </c>
      <c r="L234" s="39" t="s">
        <v>17</v>
      </c>
      <c r="M234" s="39"/>
      <c r="N234" s="39" t="s">
        <v>18</v>
      </c>
      <c r="O234" s="39"/>
      <c r="P234" s="39" t="s">
        <v>19</v>
      </c>
      <c r="Q234" s="39"/>
      <c r="R234" s="39" t="s">
        <v>20</v>
      </c>
      <c r="S234" s="39"/>
      <c r="T234" s="39" t="s">
        <v>21</v>
      </c>
      <c r="U234" s="39"/>
      <c r="V234" s="24" t="s">
        <v>134</v>
      </c>
      <c r="W234" s="24"/>
      <c r="X234" s="24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</row>
    <row r="235" s="2" customFormat="1" customHeight="1" spans="1:40">
      <c r="A235" s="5"/>
      <c r="B235" s="32"/>
      <c r="C235" s="32"/>
      <c r="D235" s="32"/>
      <c r="E235" s="32"/>
      <c r="F235" s="13">
        <v>3000</v>
      </c>
      <c r="G235" s="13" t="s">
        <v>52</v>
      </c>
      <c r="H235" s="13"/>
      <c r="I235" s="13"/>
      <c r="J235" s="11"/>
      <c r="K235" s="11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24"/>
      <c r="W235" s="24"/>
      <c r="X235" s="24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</row>
    <row r="236" s="2" customFormat="1" customHeight="1" spans="1:40">
      <c r="A236" s="5"/>
      <c r="B236" s="12" t="s">
        <v>342</v>
      </c>
      <c r="C236" s="12"/>
      <c r="D236" s="12"/>
      <c r="E236" s="12"/>
      <c r="F236" s="13"/>
      <c r="G236" s="13"/>
      <c r="H236" s="13"/>
      <c r="I236" s="13"/>
      <c r="J236" s="12" t="s">
        <v>217</v>
      </c>
      <c r="K236" s="12" t="s">
        <v>316</v>
      </c>
      <c r="L236" s="42">
        <v>3000</v>
      </c>
      <c r="M236" s="53" t="s">
        <v>63</v>
      </c>
      <c r="N236" s="42">
        <v>3</v>
      </c>
      <c r="O236" s="53" t="s">
        <v>63</v>
      </c>
      <c r="P236" s="42">
        <v>70000</v>
      </c>
      <c r="Q236" s="53" t="s">
        <v>63</v>
      </c>
      <c r="R236" s="42">
        <v>25000</v>
      </c>
      <c r="S236" s="53" t="s">
        <v>63</v>
      </c>
      <c r="T236" s="42">
        <v>500</v>
      </c>
      <c r="U236" s="53" t="s">
        <v>63</v>
      </c>
      <c r="V236" s="24" t="s">
        <v>52</v>
      </c>
      <c r="W236" s="12"/>
      <c r="X236" s="12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</row>
    <row r="237" s="2" customFormat="1" customHeight="1" spans="1:40">
      <c r="A237" s="5"/>
      <c r="B237" s="12"/>
      <c r="C237" s="12"/>
      <c r="D237" s="12"/>
      <c r="E237" s="12"/>
      <c r="F237" s="13"/>
      <c r="G237" s="13"/>
      <c r="H237" s="13"/>
      <c r="I237" s="13"/>
      <c r="J237" s="12"/>
      <c r="K237" s="12"/>
      <c r="L237" s="42"/>
      <c r="M237" s="43">
        <f>L236/J226-1</f>
        <v>-0.320729084116382</v>
      </c>
      <c r="N237" s="42"/>
      <c r="O237" s="43">
        <f>N236/E217-1</f>
        <v>-0.25</v>
      </c>
      <c r="P237" s="42"/>
      <c r="Q237" s="43">
        <f>P236/K226-1</f>
        <v>-0.277777204585083</v>
      </c>
      <c r="R237" s="42"/>
      <c r="S237" s="43">
        <f>R236/L226-1</f>
        <v>-0.33671168183386</v>
      </c>
      <c r="T237" s="42"/>
      <c r="U237" s="43">
        <f>T236/M226-1</f>
        <v>-0.308437067773167</v>
      </c>
      <c r="V237" s="12"/>
      <c r="W237" s="12"/>
      <c r="X237" s="12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</row>
    <row r="238" s="4" customFormat="1" customHeight="1" spans="1:40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</row>
    <row r="239" s="2" customFormat="1" customHeight="1" spans="1:40">
      <c r="A239" s="5"/>
      <c r="B239" s="110" t="s">
        <v>14</v>
      </c>
      <c r="C239" s="111"/>
      <c r="D239" s="111"/>
      <c r="E239" s="111"/>
      <c r="F239" s="112"/>
      <c r="G239" s="112"/>
      <c r="H239" s="113"/>
      <c r="I239" s="118"/>
      <c r="J239" s="11" t="s">
        <v>15</v>
      </c>
      <c r="K239" s="11" t="s">
        <v>16</v>
      </c>
      <c r="L239" s="39" t="s">
        <v>17</v>
      </c>
      <c r="M239" s="39"/>
      <c r="N239" s="39" t="s">
        <v>18</v>
      </c>
      <c r="O239" s="39"/>
      <c r="P239" s="39" t="s">
        <v>19</v>
      </c>
      <c r="Q239" s="39"/>
      <c r="R239" s="39" t="s">
        <v>20</v>
      </c>
      <c r="S239" s="39"/>
      <c r="T239" s="39" t="s">
        <v>21</v>
      </c>
      <c r="U239" s="39"/>
      <c r="V239" s="63" t="s">
        <v>22</v>
      </c>
      <c r="W239" s="24"/>
      <c r="X239" s="24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</row>
    <row r="240" s="2" customFormat="1" customHeight="1" spans="1:40">
      <c r="A240" s="5"/>
      <c r="B240" s="114"/>
      <c r="C240" s="9"/>
      <c r="D240" s="9"/>
      <c r="E240" s="9"/>
      <c r="F240" s="10"/>
      <c r="G240" s="10"/>
      <c r="H240" s="38"/>
      <c r="I240" s="11"/>
      <c r="J240" s="104"/>
      <c r="K240" s="104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63"/>
      <c r="W240" s="24"/>
      <c r="X240" s="24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</row>
    <row r="241" s="2" customFormat="1" customHeight="1" spans="1:40">
      <c r="A241" s="5"/>
      <c r="B241" s="16" t="s">
        <v>343</v>
      </c>
      <c r="C241" s="12"/>
      <c r="D241" s="12"/>
      <c r="E241" s="12"/>
      <c r="F241" s="13"/>
      <c r="G241" s="13"/>
      <c r="H241" s="17"/>
      <c r="I241" s="12"/>
      <c r="J241" s="12" t="s">
        <v>344</v>
      </c>
      <c r="K241" s="12" t="s">
        <v>345</v>
      </c>
      <c r="L241" s="42">
        <v>4500</v>
      </c>
      <c r="M241" s="41" t="s">
        <v>26</v>
      </c>
      <c r="N241" s="42">
        <v>2</v>
      </c>
      <c r="O241" s="41" t="s">
        <v>26</v>
      </c>
      <c r="P241" s="42">
        <v>21000</v>
      </c>
      <c r="Q241" s="41" t="s">
        <v>26</v>
      </c>
      <c r="R241" s="42">
        <v>9000</v>
      </c>
      <c r="S241" s="41" t="s">
        <v>26</v>
      </c>
      <c r="T241" s="42">
        <v>280</v>
      </c>
      <c r="U241" s="41" t="s">
        <v>26</v>
      </c>
      <c r="V241" s="24"/>
      <c r="W241" s="12"/>
      <c r="X241" s="12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</row>
    <row r="242" s="2" customFormat="1" customHeight="1" spans="1:40">
      <c r="A242" s="5"/>
      <c r="B242" s="16"/>
      <c r="C242" s="12"/>
      <c r="D242" s="12"/>
      <c r="E242" s="12"/>
      <c r="F242" s="13"/>
      <c r="G242" s="13"/>
      <c r="H242" s="12"/>
      <c r="I242" s="30"/>
      <c r="J242" s="12"/>
      <c r="K242" s="12"/>
      <c r="L242" s="42"/>
      <c r="M242" s="43">
        <f>J246/L241-1</f>
        <v>-0.192977777777778</v>
      </c>
      <c r="N242" s="42"/>
      <c r="O242" s="43">
        <f>E246/N241-1</f>
        <v>3</v>
      </c>
      <c r="P242" s="42"/>
      <c r="Q242" s="43">
        <f>K246/P241-1</f>
        <v>1.54619047619048</v>
      </c>
      <c r="R242" s="42"/>
      <c r="S242" s="43">
        <f>L246/R241-1</f>
        <v>0.425555555555555</v>
      </c>
      <c r="T242" s="42"/>
      <c r="U242" s="43">
        <f>M246/T241-1</f>
        <v>2.23571428571429</v>
      </c>
      <c r="V242" s="12"/>
      <c r="W242" s="12"/>
      <c r="X242" s="12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</row>
    <row r="243" s="2" customFormat="1" customHeight="1" spans="1:40">
      <c r="A243" s="5"/>
      <c r="B243" s="115" t="s">
        <v>28</v>
      </c>
      <c r="C243" s="14" t="s">
        <v>29</v>
      </c>
      <c r="D243" s="14" t="s">
        <v>30</v>
      </c>
      <c r="E243" s="14" t="s">
        <v>31</v>
      </c>
      <c r="F243" s="15" t="s">
        <v>32</v>
      </c>
      <c r="G243" s="15" t="s">
        <v>33</v>
      </c>
      <c r="H243" s="14"/>
      <c r="I243" s="14"/>
      <c r="J243" s="14" t="s">
        <v>34</v>
      </c>
      <c r="K243" s="14" t="s">
        <v>35</v>
      </c>
      <c r="L243" s="14" t="s">
        <v>36</v>
      </c>
      <c r="M243" s="14" t="s">
        <v>37</v>
      </c>
      <c r="N243" s="91" t="s">
        <v>38</v>
      </c>
      <c r="O243" s="91" t="s">
        <v>39</v>
      </c>
      <c r="P243" s="91" t="s">
        <v>40</v>
      </c>
      <c r="Q243" s="91" t="s">
        <v>41</v>
      </c>
      <c r="R243" s="91" t="s">
        <v>42</v>
      </c>
      <c r="S243" s="91" t="s">
        <v>43</v>
      </c>
      <c r="T243" s="91" t="s">
        <v>44</v>
      </c>
      <c r="U243" s="92" t="s">
        <v>45</v>
      </c>
      <c r="V243" s="65" t="s">
        <v>46</v>
      </c>
      <c r="W243" s="65" t="s">
        <v>47</v>
      </c>
      <c r="X243" s="120" t="s">
        <v>48</v>
      </c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</row>
    <row r="244" s="2" customFormat="1" customHeight="1" spans="1:40">
      <c r="A244" s="5"/>
      <c r="B244" s="16" t="s">
        <v>49</v>
      </c>
      <c r="C244" s="12">
        <v>10000</v>
      </c>
      <c r="D244" s="12" t="s">
        <v>346</v>
      </c>
      <c r="E244" s="12">
        <v>10</v>
      </c>
      <c r="F244" s="13">
        <v>5000</v>
      </c>
      <c r="G244" s="13">
        <v>5000</v>
      </c>
      <c r="H244" s="12"/>
      <c r="I244" s="12"/>
      <c r="J244" s="12">
        <v>5654.6</v>
      </c>
      <c r="K244" s="12">
        <v>135299</v>
      </c>
      <c r="L244" s="42">
        <v>29419</v>
      </c>
      <c r="M244" s="42">
        <v>1463</v>
      </c>
      <c r="N244" s="46">
        <v>0.0497</v>
      </c>
      <c r="O244" s="42">
        <v>795</v>
      </c>
      <c r="P244" s="106">
        <v>0.19</v>
      </c>
      <c r="Q244" s="106">
        <v>3.87</v>
      </c>
      <c r="R244" s="42">
        <v>1348</v>
      </c>
      <c r="S244" s="48">
        <v>4.33</v>
      </c>
      <c r="T244" s="12">
        <v>0</v>
      </c>
      <c r="U244" s="66">
        <v>0</v>
      </c>
      <c r="V244" s="68">
        <v>0.5</v>
      </c>
      <c r="W244" s="68">
        <v>0.5</v>
      </c>
      <c r="X244" s="69">
        <v>10</v>
      </c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</row>
    <row r="245" s="2" customFormat="1" customHeight="1" spans="1:40">
      <c r="A245" s="5"/>
      <c r="B245" s="16" t="s">
        <v>50</v>
      </c>
      <c r="C245" s="12">
        <v>12000</v>
      </c>
      <c r="D245" s="12" t="s">
        <v>347</v>
      </c>
      <c r="E245" s="12">
        <v>12</v>
      </c>
      <c r="F245" s="13">
        <v>6000</v>
      </c>
      <c r="G245" s="13">
        <v>6000</v>
      </c>
      <c r="H245" s="12"/>
      <c r="I245" s="12"/>
      <c r="J245" s="12">
        <v>6515.45</v>
      </c>
      <c r="K245" s="12">
        <v>134886</v>
      </c>
      <c r="L245" s="42">
        <v>55749</v>
      </c>
      <c r="M245" s="42">
        <v>1753</v>
      </c>
      <c r="N245" s="46">
        <v>0.0314445102154299</v>
      </c>
      <c r="O245" s="42">
        <v>1009</v>
      </c>
      <c r="P245" s="106">
        <v>0.116871154639545</v>
      </c>
      <c r="Q245" s="106">
        <v>3.71674272675414</v>
      </c>
      <c r="R245" s="42">
        <v>331</v>
      </c>
      <c r="S245" s="48">
        <v>19.6841389728097</v>
      </c>
      <c r="T245" s="12">
        <v>0</v>
      </c>
      <c r="U245" s="66">
        <v>0</v>
      </c>
      <c r="V245" s="68">
        <f>T248</f>
        <v>0.5</v>
      </c>
      <c r="W245" s="68">
        <f>U248</f>
        <v>0.5</v>
      </c>
      <c r="X245" s="69">
        <f>E245</f>
        <v>12</v>
      </c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</row>
    <row r="246" s="2" customFormat="1" customHeight="1" spans="1:40">
      <c r="A246" s="5"/>
      <c r="B246" s="16" t="s">
        <v>51</v>
      </c>
      <c r="C246" s="12"/>
      <c r="D246" s="12" t="s">
        <v>347</v>
      </c>
      <c r="E246" s="12">
        <v>8</v>
      </c>
      <c r="F246" s="13">
        <v>4500</v>
      </c>
      <c r="G246" s="13">
        <v>4500</v>
      </c>
      <c r="H246" s="12"/>
      <c r="I246" s="12"/>
      <c r="J246" s="12">
        <v>3631.6</v>
      </c>
      <c r="K246" s="12">
        <v>53470</v>
      </c>
      <c r="L246" s="42">
        <v>12830</v>
      </c>
      <c r="M246" s="42">
        <v>906</v>
      </c>
      <c r="N246" s="46">
        <v>0.0706157443491816</v>
      </c>
      <c r="O246" s="42">
        <v>512</v>
      </c>
      <c r="P246" s="106">
        <v>0.283055339049104</v>
      </c>
      <c r="Q246" s="106">
        <v>4.0083885209713</v>
      </c>
      <c r="R246" s="42">
        <v>222</v>
      </c>
      <c r="S246" s="48">
        <v>16.6963963963964</v>
      </c>
      <c r="T246" s="12">
        <v>0</v>
      </c>
      <c r="U246" s="66">
        <v>0</v>
      </c>
      <c r="V246" s="68">
        <v>0.5</v>
      </c>
      <c r="W246" s="68">
        <v>0.5</v>
      </c>
      <c r="X246" s="69">
        <v>8</v>
      </c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</row>
    <row r="247" s="2" customFormat="1" customHeight="1" spans="1:40">
      <c r="A247" s="5"/>
      <c r="B247" s="9" t="s">
        <v>53</v>
      </c>
      <c r="C247" s="9"/>
      <c r="D247" s="9"/>
      <c r="E247" s="9"/>
      <c r="F247" s="18"/>
      <c r="G247" s="18"/>
      <c r="H247" s="9"/>
      <c r="I247" s="9"/>
      <c r="J247" s="9" t="s">
        <v>54</v>
      </c>
      <c r="K247" s="9"/>
      <c r="L247" s="11" t="s">
        <v>31</v>
      </c>
      <c r="M247" s="11"/>
      <c r="N247" s="11" t="s">
        <v>35</v>
      </c>
      <c r="O247" s="11"/>
      <c r="P247" s="11" t="s">
        <v>36</v>
      </c>
      <c r="Q247" s="11"/>
      <c r="R247" s="11" t="s">
        <v>37</v>
      </c>
      <c r="S247" s="11"/>
      <c r="T247" s="9" t="s">
        <v>46</v>
      </c>
      <c r="U247" s="9" t="s">
        <v>47</v>
      </c>
      <c r="V247" s="24" t="s">
        <v>55</v>
      </c>
      <c r="W247" s="24"/>
      <c r="X247" s="24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</row>
    <row r="248" s="2" customFormat="1" customHeight="1" spans="1:40">
      <c r="A248" s="5"/>
      <c r="B248" s="16" t="s">
        <v>56</v>
      </c>
      <c r="C248" s="12" t="s">
        <v>57</v>
      </c>
      <c r="D248" s="12"/>
      <c r="E248" s="12" t="s">
        <v>58</v>
      </c>
      <c r="F248" s="19" t="s">
        <v>59</v>
      </c>
      <c r="G248" s="19" t="s">
        <v>60</v>
      </c>
      <c r="H248" s="20" t="s">
        <v>61</v>
      </c>
      <c r="I248" s="20" t="s">
        <v>62</v>
      </c>
      <c r="J248" s="12">
        <f>J259</f>
        <v>3631.6</v>
      </c>
      <c r="K248" s="53" t="s">
        <v>63</v>
      </c>
      <c r="L248" s="12">
        <v>8</v>
      </c>
      <c r="M248" s="53" t="s">
        <v>63</v>
      </c>
      <c r="N248" s="12">
        <f>K259</f>
        <v>53470</v>
      </c>
      <c r="O248" s="53" t="s">
        <v>63</v>
      </c>
      <c r="P248" s="12">
        <f>L259</f>
        <v>12830</v>
      </c>
      <c r="Q248" s="53" t="s">
        <v>63</v>
      </c>
      <c r="R248" s="12">
        <f>M259</f>
        <v>906</v>
      </c>
      <c r="S248" s="53" t="s">
        <v>63</v>
      </c>
      <c r="T248" s="46">
        <v>0.5</v>
      </c>
      <c r="U248" s="93">
        <v>0.5</v>
      </c>
      <c r="V248" s="24"/>
      <c r="W248" s="24"/>
      <c r="X248" s="24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</row>
    <row r="249" s="2" customFormat="1" customHeight="1" spans="1:40">
      <c r="A249" s="5"/>
      <c r="B249" s="16"/>
      <c r="C249" s="12"/>
      <c r="D249" s="12"/>
      <c r="E249" s="12"/>
      <c r="F249" s="19"/>
      <c r="G249" s="19"/>
      <c r="H249" s="20"/>
      <c r="I249" s="20"/>
      <c r="J249" s="12"/>
      <c r="K249" s="43">
        <f>J248/J245-1</f>
        <v>-0.442617163818309</v>
      </c>
      <c r="L249" s="12"/>
      <c r="M249" s="43">
        <f>L248/E245-1</f>
        <v>-0.333333333333333</v>
      </c>
      <c r="N249" s="12"/>
      <c r="O249" s="43">
        <f>N248/K245-1</f>
        <v>-0.60359118070074</v>
      </c>
      <c r="P249" s="12"/>
      <c r="Q249" s="43">
        <f>P248/L245-1</f>
        <v>-0.769861342804355</v>
      </c>
      <c r="R249" s="12"/>
      <c r="S249" s="43">
        <f>R248/M245-1</f>
        <v>-0.483171705647461</v>
      </c>
      <c r="T249" s="12"/>
      <c r="U249" s="53"/>
      <c r="V249" s="24"/>
      <c r="W249" s="24"/>
      <c r="X249" s="24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</row>
    <row r="250" s="2" customFormat="1" customHeight="1" spans="1:40">
      <c r="A250" s="5"/>
      <c r="B250" s="16"/>
      <c r="C250" s="12"/>
      <c r="D250" s="12"/>
      <c r="E250" s="12"/>
      <c r="F250" s="19"/>
      <c r="G250" s="19"/>
      <c r="H250" s="20"/>
      <c r="I250" s="20"/>
      <c r="J250" s="54" t="s">
        <v>34</v>
      </c>
      <c r="K250" s="55" t="s">
        <v>35</v>
      </c>
      <c r="L250" s="55" t="s">
        <v>36</v>
      </c>
      <c r="M250" s="55" t="s">
        <v>37</v>
      </c>
      <c r="N250" s="55" t="s">
        <v>38</v>
      </c>
      <c r="O250" s="56" t="s">
        <v>39</v>
      </c>
      <c r="P250" s="55" t="s">
        <v>40</v>
      </c>
      <c r="Q250" s="55" t="s">
        <v>41</v>
      </c>
      <c r="R250" s="54" t="s">
        <v>42</v>
      </c>
      <c r="S250" s="54" t="s">
        <v>43</v>
      </c>
      <c r="T250" s="55" t="s">
        <v>64</v>
      </c>
      <c r="U250" s="55" t="s">
        <v>65</v>
      </c>
      <c r="V250" s="24" t="s">
        <v>348</v>
      </c>
      <c r="W250" s="24"/>
      <c r="X250" s="24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</row>
    <row r="251" s="2" customFormat="1" customHeight="1" spans="1:40">
      <c r="A251" s="5"/>
      <c r="B251" s="116" t="s">
        <v>347</v>
      </c>
      <c r="C251" s="12" t="s">
        <v>74</v>
      </c>
      <c r="D251" s="21" t="s">
        <v>68</v>
      </c>
      <c r="E251" s="12" t="s">
        <v>349</v>
      </c>
      <c r="F251" s="13" t="s">
        <v>350</v>
      </c>
      <c r="G251" s="13" t="s">
        <v>351</v>
      </c>
      <c r="H251" s="22">
        <v>45462</v>
      </c>
      <c r="I251" s="13">
        <v>0</v>
      </c>
      <c r="J251" s="12">
        <v>1411</v>
      </c>
      <c r="K251" s="13">
        <v>3989</v>
      </c>
      <c r="L251" s="13">
        <v>479</v>
      </c>
      <c r="M251" s="13">
        <v>168</v>
      </c>
      <c r="N251" s="46">
        <f t="shared" ref="N251:N260" si="51">M251/L251</f>
        <v>0.350730688935282</v>
      </c>
      <c r="O251" s="13">
        <v>111</v>
      </c>
      <c r="P251" s="47">
        <f t="shared" ref="P251:P260" si="52">J251/L251</f>
        <v>2.94572025052192</v>
      </c>
      <c r="Q251" s="47">
        <f t="shared" ref="Q251:Q260" si="53">J251/M251</f>
        <v>8.39880952380952</v>
      </c>
      <c r="R251" s="13">
        <v>61</v>
      </c>
      <c r="S251" s="13">
        <v>24.52</v>
      </c>
      <c r="T251" s="12" t="s">
        <v>72</v>
      </c>
      <c r="U251" s="12" t="s">
        <v>78</v>
      </c>
      <c r="V251" s="24"/>
      <c r="W251" s="24"/>
      <c r="X251" s="24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</row>
    <row r="252" s="2" customFormat="1" customHeight="1" spans="1:40">
      <c r="A252" s="5"/>
      <c r="B252" s="117"/>
      <c r="C252" s="12" t="s">
        <v>67</v>
      </c>
      <c r="D252" s="23"/>
      <c r="E252" s="12" t="s">
        <v>352</v>
      </c>
      <c r="F252" s="13" t="s">
        <v>353</v>
      </c>
      <c r="G252" s="13" t="s">
        <v>354</v>
      </c>
      <c r="H252" s="22">
        <v>45450</v>
      </c>
      <c r="I252" s="13">
        <v>0</v>
      </c>
      <c r="J252" s="12">
        <v>1232</v>
      </c>
      <c r="K252" s="13">
        <v>29669</v>
      </c>
      <c r="L252" s="13">
        <v>8940</v>
      </c>
      <c r="M252" s="13">
        <v>232</v>
      </c>
      <c r="N252" s="46">
        <f t="shared" si="51"/>
        <v>0.0259507829977629</v>
      </c>
      <c r="O252" s="13">
        <v>153</v>
      </c>
      <c r="P252" s="47">
        <f t="shared" si="52"/>
        <v>0.137807606263982</v>
      </c>
      <c r="Q252" s="47">
        <f t="shared" si="53"/>
        <v>5.31034482758621</v>
      </c>
      <c r="R252" s="13">
        <v>33</v>
      </c>
      <c r="S252" s="13">
        <v>37.33</v>
      </c>
      <c r="T252" s="12" t="s">
        <v>72</v>
      </c>
      <c r="U252" s="12" t="s">
        <v>78</v>
      </c>
      <c r="V252" s="24"/>
      <c r="W252" s="24"/>
      <c r="X252" s="24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</row>
    <row r="253" s="2" customFormat="1" customHeight="1" spans="1:40">
      <c r="A253" s="5"/>
      <c r="B253" s="117"/>
      <c r="C253" s="12" t="s">
        <v>74</v>
      </c>
      <c r="D253" s="23"/>
      <c r="E253" s="12" t="s">
        <v>355</v>
      </c>
      <c r="F253" s="13" t="s">
        <v>356</v>
      </c>
      <c r="G253" s="13" t="s">
        <v>357</v>
      </c>
      <c r="H253" s="22">
        <v>45444</v>
      </c>
      <c r="I253" s="13">
        <v>0</v>
      </c>
      <c r="J253" s="12">
        <v>495</v>
      </c>
      <c r="K253" s="13">
        <v>8038</v>
      </c>
      <c r="L253" s="13">
        <v>564</v>
      </c>
      <c r="M253" s="13">
        <v>74</v>
      </c>
      <c r="N253" s="46">
        <f t="shared" si="51"/>
        <v>0.131205673758865</v>
      </c>
      <c r="O253" s="13">
        <v>35</v>
      </c>
      <c r="P253" s="47">
        <f t="shared" si="52"/>
        <v>0.877659574468085</v>
      </c>
      <c r="Q253" s="47">
        <f t="shared" si="53"/>
        <v>6.68918918918919</v>
      </c>
      <c r="R253" s="13">
        <v>70</v>
      </c>
      <c r="S253" s="13">
        <v>7.07</v>
      </c>
      <c r="T253" s="12" t="s">
        <v>72</v>
      </c>
      <c r="U253" s="12" t="s">
        <v>73</v>
      </c>
      <c r="V253" s="24"/>
      <c r="W253" s="24"/>
      <c r="X253" s="24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</row>
    <row r="254" s="2" customFormat="1" customHeight="1" spans="1:40">
      <c r="A254" s="5"/>
      <c r="B254" s="117"/>
      <c r="C254" s="12" t="s">
        <v>74</v>
      </c>
      <c r="D254" s="30"/>
      <c r="E254" s="12" t="s">
        <v>358</v>
      </c>
      <c r="F254" s="13" t="s">
        <v>359</v>
      </c>
      <c r="G254" s="13" t="s">
        <v>360</v>
      </c>
      <c r="H254" s="22">
        <v>45444</v>
      </c>
      <c r="I254" s="13">
        <v>75</v>
      </c>
      <c r="J254" s="12">
        <v>332</v>
      </c>
      <c r="K254" s="13">
        <v>1737</v>
      </c>
      <c r="L254" s="13">
        <v>76</v>
      </c>
      <c r="M254" s="13">
        <v>12</v>
      </c>
      <c r="N254" s="46">
        <f t="shared" si="51"/>
        <v>0.157894736842105</v>
      </c>
      <c r="O254" s="13">
        <v>5</v>
      </c>
      <c r="P254" s="47">
        <f t="shared" si="52"/>
        <v>4.36842105263158</v>
      </c>
      <c r="Q254" s="47">
        <f t="shared" si="53"/>
        <v>27.6666666666667</v>
      </c>
      <c r="R254" s="13">
        <v>35</v>
      </c>
      <c r="S254" s="13">
        <v>12.2</v>
      </c>
      <c r="T254" s="12" t="s">
        <v>72</v>
      </c>
      <c r="U254" s="12" t="s">
        <v>73</v>
      </c>
      <c r="V254" s="24"/>
      <c r="W254" s="24"/>
      <c r="X254" s="24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</row>
    <row r="255" s="2" customFormat="1" customHeight="1" spans="1:40">
      <c r="A255" s="5"/>
      <c r="B255" s="117"/>
      <c r="C255" s="12" t="s">
        <v>74</v>
      </c>
      <c r="D255" s="21" t="s">
        <v>91</v>
      </c>
      <c r="E255" s="12" t="s">
        <v>361</v>
      </c>
      <c r="F255" s="13" t="s">
        <v>128</v>
      </c>
      <c r="G255" s="13" t="s">
        <v>362</v>
      </c>
      <c r="H255" s="22">
        <v>45468</v>
      </c>
      <c r="I255" s="13">
        <v>0</v>
      </c>
      <c r="J255" s="12">
        <v>38.4</v>
      </c>
      <c r="K255" s="12">
        <v>5029</v>
      </c>
      <c r="L255" s="12">
        <v>2216</v>
      </c>
      <c r="M255" s="13">
        <v>83</v>
      </c>
      <c r="N255" s="46">
        <f t="shared" si="51"/>
        <v>0.0374548736462094</v>
      </c>
      <c r="O255" s="13">
        <v>50</v>
      </c>
      <c r="P255" s="47">
        <f t="shared" si="52"/>
        <v>0.0173285198555957</v>
      </c>
      <c r="Q255" s="47">
        <f t="shared" si="53"/>
        <v>0.462650602409639</v>
      </c>
      <c r="R255" s="13">
        <v>2</v>
      </c>
      <c r="S255" s="13">
        <v>105.6</v>
      </c>
      <c r="T255" s="12" t="s">
        <v>95</v>
      </c>
      <c r="U255" s="12" t="s">
        <v>78</v>
      </c>
      <c r="V255" s="24"/>
      <c r="W255" s="24"/>
      <c r="X255" s="24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</row>
    <row r="256" s="2" customFormat="1" customHeight="1" spans="1:40">
      <c r="A256" s="5"/>
      <c r="B256" s="117"/>
      <c r="C256" s="12" t="s">
        <v>74</v>
      </c>
      <c r="D256" s="21"/>
      <c r="E256" s="12" t="s">
        <v>363</v>
      </c>
      <c r="F256" s="13" t="s">
        <v>364</v>
      </c>
      <c r="G256" s="13" t="s">
        <v>365</v>
      </c>
      <c r="H256" s="22">
        <v>45466</v>
      </c>
      <c r="I256" s="13">
        <v>0</v>
      </c>
      <c r="J256" s="12">
        <v>38.4</v>
      </c>
      <c r="K256" s="12">
        <v>1198</v>
      </c>
      <c r="L256" s="12">
        <v>101</v>
      </c>
      <c r="M256" s="13">
        <v>70</v>
      </c>
      <c r="N256" s="46">
        <f t="shared" si="51"/>
        <v>0.693069306930693</v>
      </c>
      <c r="O256" s="13">
        <v>29</v>
      </c>
      <c r="P256" s="47">
        <f t="shared" si="52"/>
        <v>0.38019801980198</v>
      </c>
      <c r="Q256" s="47">
        <f t="shared" si="53"/>
        <v>0.548571428571429</v>
      </c>
      <c r="R256" s="13">
        <v>6</v>
      </c>
      <c r="S256" s="13">
        <v>35.2</v>
      </c>
      <c r="T256" s="12" t="s">
        <v>95</v>
      </c>
      <c r="U256" s="12" t="s">
        <v>78</v>
      </c>
      <c r="V256" s="24"/>
      <c r="W256" s="24"/>
      <c r="X256" s="24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</row>
    <row r="257" s="2" customFormat="1" customHeight="1" spans="1:40">
      <c r="A257" s="5"/>
      <c r="B257" s="117"/>
      <c r="C257" s="12" t="s">
        <v>74</v>
      </c>
      <c r="D257" s="21"/>
      <c r="E257" s="12" t="s">
        <v>366</v>
      </c>
      <c r="F257" s="13" t="s">
        <v>367</v>
      </c>
      <c r="G257" s="13"/>
      <c r="H257" s="22">
        <v>45460</v>
      </c>
      <c r="I257" s="13">
        <v>0</v>
      </c>
      <c r="J257" s="12">
        <v>52.8</v>
      </c>
      <c r="K257" s="12">
        <v>2057</v>
      </c>
      <c r="L257" s="12">
        <v>228</v>
      </c>
      <c r="M257" s="13">
        <v>135</v>
      </c>
      <c r="N257" s="46">
        <f t="shared" si="51"/>
        <v>0.592105263157895</v>
      </c>
      <c r="O257" s="13">
        <v>72</v>
      </c>
      <c r="P257" s="47">
        <f t="shared" si="52"/>
        <v>0.231578947368421</v>
      </c>
      <c r="Q257" s="47">
        <f t="shared" si="53"/>
        <v>0.391111111111111</v>
      </c>
      <c r="R257" s="13">
        <v>9</v>
      </c>
      <c r="S257" s="13">
        <v>32.27</v>
      </c>
      <c r="T257" s="12" t="s">
        <v>95</v>
      </c>
      <c r="U257" s="12" t="s">
        <v>78</v>
      </c>
      <c r="V257" s="24"/>
      <c r="W257" s="24"/>
      <c r="X257" s="24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</row>
    <row r="258" s="2" customFormat="1" customHeight="1" spans="1:40">
      <c r="A258" s="5"/>
      <c r="B258" s="117"/>
      <c r="C258" s="12" t="s">
        <v>74</v>
      </c>
      <c r="D258" s="121"/>
      <c r="E258" s="12" t="s">
        <v>368</v>
      </c>
      <c r="F258" s="13" t="s">
        <v>369</v>
      </c>
      <c r="G258" s="13" t="s">
        <v>370</v>
      </c>
      <c r="H258" s="22">
        <v>45458</v>
      </c>
      <c r="I258" s="13">
        <v>0</v>
      </c>
      <c r="J258" s="12">
        <v>32</v>
      </c>
      <c r="K258" s="12">
        <v>1753</v>
      </c>
      <c r="L258" s="12">
        <v>226</v>
      </c>
      <c r="M258" s="13">
        <v>132</v>
      </c>
      <c r="N258" s="46">
        <f t="shared" si="51"/>
        <v>0.584070796460177</v>
      </c>
      <c r="O258" s="13">
        <v>57</v>
      </c>
      <c r="P258" s="47">
        <f t="shared" si="52"/>
        <v>0.141592920353982</v>
      </c>
      <c r="Q258" s="47">
        <f t="shared" si="53"/>
        <v>0.242424242424242</v>
      </c>
      <c r="R258" s="13">
        <v>6</v>
      </c>
      <c r="S258" s="13">
        <v>29.33</v>
      </c>
      <c r="T258" s="12" t="s">
        <v>95</v>
      </c>
      <c r="U258" s="12" t="s">
        <v>78</v>
      </c>
      <c r="V258" s="24"/>
      <c r="W258" s="24"/>
      <c r="X258" s="24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</row>
    <row r="259" s="2" customFormat="1" customHeight="1" spans="1:40">
      <c r="A259" s="5"/>
      <c r="B259" s="117"/>
      <c r="C259" s="26"/>
      <c r="D259" s="27" t="s">
        <v>99</v>
      </c>
      <c r="E259" s="26"/>
      <c r="F259" s="28"/>
      <c r="G259" s="28"/>
      <c r="H259" s="29"/>
      <c r="I259" s="27">
        <f t="shared" ref="I259:M259" si="54">SUM(I251:I258)</f>
        <v>75</v>
      </c>
      <c r="J259" s="27">
        <f t="shared" si="54"/>
        <v>3631.6</v>
      </c>
      <c r="K259" s="27">
        <f t="shared" si="54"/>
        <v>53470</v>
      </c>
      <c r="L259" s="27">
        <f t="shared" si="54"/>
        <v>12830</v>
      </c>
      <c r="M259" s="27">
        <f t="shared" si="54"/>
        <v>906</v>
      </c>
      <c r="N259" s="59">
        <f t="shared" si="51"/>
        <v>0.0706157443491816</v>
      </c>
      <c r="O259" s="27">
        <f>SUM(O251:O258)</f>
        <v>512</v>
      </c>
      <c r="P259" s="60">
        <f t="shared" si="52"/>
        <v>0.283055339049104</v>
      </c>
      <c r="Q259" s="60">
        <f t="shared" si="53"/>
        <v>4.0083885209713</v>
      </c>
      <c r="R259" s="27">
        <f>SUM(R251:R258)</f>
        <v>222</v>
      </c>
      <c r="S259" s="60">
        <f>(J259+I259)/R259</f>
        <v>16.6963963963964</v>
      </c>
      <c r="T259" s="26"/>
      <c r="U259" s="26"/>
      <c r="V259" s="24"/>
      <c r="W259" s="24"/>
      <c r="X259" s="24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</row>
    <row r="260" s="2" customFormat="1" customHeight="1" spans="1:40">
      <c r="A260" s="5"/>
      <c r="B260" s="27" t="s">
        <v>132</v>
      </c>
      <c r="C260" s="27"/>
      <c r="D260" s="27"/>
      <c r="E260" s="27"/>
      <c r="F260" s="31"/>
      <c r="G260" s="31"/>
      <c r="H260" s="27"/>
      <c r="I260" s="27"/>
      <c r="J260" s="27">
        <f t="shared" ref="J260:M260" si="55">J259</f>
        <v>3631.6</v>
      </c>
      <c r="K260" s="27">
        <f t="shared" si="55"/>
        <v>53470</v>
      </c>
      <c r="L260" s="27">
        <f t="shared" si="55"/>
        <v>12830</v>
      </c>
      <c r="M260" s="27">
        <f t="shared" si="55"/>
        <v>906</v>
      </c>
      <c r="N260" s="59">
        <f t="shared" si="51"/>
        <v>0.0706157443491816</v>
      </c>
      <c r="O260" s="27">
        <f>O259</f>
        <v>512</v>
      </c>
      <c r="P260" s="60">
        <f t="shared" si="52"/>
        <v>0.283055339049104</v>
      </c>
      <c r="Q260" s="60">
        <f t="shared" si="53"/>
        <v>4.0083885209713</v>
      </c>
      <c r="R260" s="27"/>
      <c r="S260" s="27"/>
      <c r="T260" s="27"/>
      <c r="U260" s="27"/>
      <c r="V260" s="24"/>
      <c r="W260" s="24"/>
      <c r="X260" s="24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</row>
    <row r="261" s="2" customFormat="1" customHeight="1" spans="1:40">
      <c r="A261" s="5"/>
      <c r="B261" s="32" t="s">
        <v>133</v>
      </c>
      <c r="C261" s="32"/>
      <c r="D261" s="32"/>
      <c r="E261" s="32"/>
      <c r="F261" s="15" t="s">
        <v>32</v>
      </c>
      <c r="G261" s="15" t="s">
        <v>33</v>
      </c>
      <c r="H261" s="13" t="s">
        <v>52</v>
      </c>
      <c r="I261" s="13"/>
      <c r="J261" s="11" t="s">
        <v>15</v>
      </c>
      <c r="K261" s="11" t="s">
        <v>16</v>
      </c>
      <c r="L261" s="39" t="s">
        <v>17</v>
      </c>
      <c r="M261" s="39"/>
      <c r="N261" s="39" t="s">
        <v>18</v>
      </c>
      <c r="O261" s="39"/>
      <c r="P261" s="39" t="s">
        <v>19</v>
      </c>
      <c r="Q261" s="39"/>
      <c r="R261" s="39" t="s">
        <v>20</v>
      </c>
      <c r="S261" s="39"/>
      <c r="T261" s="39" t="s">
        <v>21</v>
      </c>
      <c r="U261" s="39"/>
      <c r="V261" s="24" t="s">
        <v>134</v>
      </c>
      <c r="W261" s="24"/>
      <c r="X261" s="24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</row>
    <row r="262" s="2" customFormat="1" customHeight="1" spans="1:40">
      <c r="A262" s="5"/>
      <c r="B262" s="32"/>
      <c r="C262" s="32"/>
      <c r="D262" s="32"/>
      <c r="E262" s="32"/>
      <c r="F262" s="13">
        <v>5000</v>
      </c>
      <c r="G262" s="13" t="s">
        <v>52</v>
      </c>
      <c r="H262" s="13"/>
      <c r="I262" s="13"/>
      <c r="J262" s="11"/>
      <c r="K262" s="11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24"/>
      <c r="W262" s="24"/>
      <c r="X262" s="24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</row>
    <row r="263" s="2" customFormat="1" customHeight="1" spans="1:40">
      <c r="A263" s="5"/>
      <c r="B263" s="16" t="s">
        <v>371</v>
      </c>
      <c r="C263" s="12"/>
      <c r="D263" s="12"/>
      <c r="E263" s="12"/>
      <c r="F263" s="13"/>
      <c r="G263" s="13"/>
      <c r="H263" s="13"/>
      <c r="I263" s="13"/>
      <c r="J263" s="12" t="s">
        <v>344</v>
      </c>
      <c r="K263" s="12" t="s">
        <v>345</v>
      </c>
      <c r="L263" s="42">
        <f>F262</f>
        <v>5000</v>
      </c>
      <c r="M263" s="53" t="s">
        <v>63</v>
      </c>
      <c r="N263" s="42">
        <v>5</v>
      </c>
      <c r="O263" s="53" t="s">
        <v>63</v>
      </c>
      <c r="P263" s="42">
        <v>70000</v>
      </c>
      <c r="Q263" s="53" t="s">
        <v>63</v>
      </c>
      <c r="R263" s="42">
        <v>16000</v>
      </c>
      <c r="S263" s="53" t="s">
        <v>63</v>
      </c>
      <c r="T263" s="42">
        <v>1200</v>
      </c>
      <c r="U263" s="53" t="s">
        <v>63</v>
      </c>
      <c r="V263" s="24" t="s">
        <v>52</v>
      </c>
      <c r="W263" s="12"/>
      <c r="X263" s="12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</row>
    <row r="264" s="2" customFormat="1" customHeight="1" spans="1:40">
      <c r="A264" s="5"/>
      <c r="B264" s="16"/>
      <c r="C264" s="12"/>
      <c r="D264" s="12"/>
      <c r="E264" s="12"/>
      <c r="F264" s="13"/>
      <c r="G264" s="13"/>
      <c r="H264" s="13"/>
      <c r="I264" s="13"/>
      <c r="J264" s="12"/>
      <c r="K264" s="12"/>
      <c r="L264" s="42"/>
      <c r="M264" s="43">
        <f>L263/J246-1</f>
        <v>0.37680361273268</v>
      </c>
      <c r="N264" s="42"/>
      <c r="O264" s="43">
        <f>N263/E245-1</f>
        <v>-0.583333333333333</v>
      </c>
      <c r="P264" s="42"/>
      <c r="Q264" s="43">
        <f>P263/K259-1</f>
        <v>0.309145315129979</v>
      </c>
      <c r="R264" s="42"/>
      <c r="S264" s="43">
        <f>R263/L259-1</f>
        <v>0.247077162899454</v>
      </c>
      <c r="T264" s="42"/>
      <c r="U264" s="43">
        <f>T263/M259-1</f>
        <v>0.324503311258278</v>
      </c>
      <c r="V264" s="12"/>
      <c r="W264" s="12"/>
      <c r="X264" s="12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</row>
    <row r="265" s="4" customFormat="1" customHeight="1" spans="1:40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</row>
    <row r="266" s="4" customFormat="1" customHeight="1" spans="1:40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</row>
    <row r="267" s="2" customFormat="1" customHeight="1" spans="1:40">
      <c r="A267" s="5"/>
      <c r="B267" s="110" t="s">
        <v>14</v>
      </c>
      <c r="C267" s="111"/>
      <c r="D267" s="111"/>
      <c r="E267" s="111"/>
      <c r="F267" s="112"/>
      <c r="G267" s="112"/>
      <c r="H267" s="113"/>
      <c r="I267" s="118"/>
      <c r="J267" s="11" t="s">
        <v>15</v>
      </c>
      <c r="K267" s="11" t="s">
        <v>16</v>
      </c>
      <c r="L267" s="39" t="s">
        <v>17</v>
      </c>
      <c r="M267" s="39"/>
      <c r="N267" s="39" t="s">
        <v>18</v>
      </c>
      <c r="O267" s="39"/>
      <c r="P267" s="39" t="s">
        <v>19</v>
      </c>
      <c r="Q267" s="39"/>
      <c r="R267" s="39" t="s">
        <v>20</v>
      </c>
      <c r="S267" s="39"/>
      <c r="T267" s="39" t="s">
        <v>21</v>
      </c>
      <c r="U267" s="39"/>
      <c r="V267" s="63" t="s">
        <v>22</v>
      </c>
      <c r="W267" s="24"/>
      <c r="X267" s="24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</row>
    <row r="268" s="2" customFormat="1" customHeight="1" spans="1:40">
      <c r="A268" s="5"/>
      <c r="B268" s="114"/>
      <c r="C268" s="9"/>
      <c r="D268" s="9"/>
      <c r="E268" s="9"/>
      <c r="F268" s="10"/>
      <c r="G268" s="10"/>
      <c r="H268" s="38"/>
      <c r="I268" s="11"/>
      <c r="J268" s="104"/>
      <c r="K268" s="104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63"/>
      <c r="W268" s="24"/>
      <c r="X268" s="24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</row>
    <row r="269" s="2" customFormat="1" customHeight="1" spans="1:40">
      <c r="A269" s="5"/>
      <c r="B269" s="16" t="s">
        <v>372</v>
      </c>
      <c r="C269" s="12"/>
      <c r="D269" s="12"/>
      <c r="E269" s="12"/>
      <c r="F269" s="13"/>
      <c r="G269" s="13"/>
      <c r="H269" s="17"/>
      <c r="I269" s="12"/>
      <c r="J269" s="12" t="s">
        <v>217</v>
      </c>
      <c r="K269" s="12" t="s">
        <v>373</v>
      </c>
      <c r="L269" s="42">
        <v>5000</v>
      </c>
      <c r="M269" s="41" t="s">
        <v>26</v>
      </c>
      <c r="N269" s="42">
        <v>15</v>
      </c>
      <c r="O269" s="41" t="s">
        <v>26</v>
      </c>
      <c r="P269" s="42">
        <v>83500</v>
      </c>
      <c r="Q269" s="41" t="s">
        <v>26</v>
      </c>
      <c r="R269" s="42">
        <v>25000</v>
      </c>
      <c r="S269" s="41" t="s">
        <v>26</v>
      </c>
      <c r="T269" s="42">
        <v>950</v>
      </c>
      <c r="U269" s="41" t="s">
        <v>26</v>
      </c>
      <c r="V269" s="24"/>
      <c r="W269" s="12"/>
      <c r="X269" s="12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</row>
    <row r="270" s="2" customFormat="1" customHeight="1" spans="1:40">
      <c r="A270" s="5"/>
      <c r="B270" s="16"/>
      <c r="C270" s="12"/>
      <c r="D270" s="12"/>
      <c r="E270" s="12"/>
      <c r="F270" s="13"/>
      <c r="G270" s="13"/>
      <c r="H270" s="12"/>
      <c r="I270" s="30"/>
      <c r="J270" s="12"/>
      <c r="K270" s="12"/>
      <c r="L270" s="42"/>
      <c r="M270" s="43">
        <f>J274/L269-1</f>
        <v>0</v>
      </c>
      <c r="N270" s="42"/>
      <c r="O270" s="43">
        <f>E274/N269-1</f>
        <v>0</v>
      </c>
      <c r="P270" s="42"/>
      <c r="Q270" s="43">
        <f>K274/P269-1</f>
        <v>1.37377245508982</v>
      </c>
      <c r="R270" s="42"/>
      <c r="S270" s="43">
        <f>L274/R269-1</f>
        <v>-0.10356</v>
      </c>
      <c r="T270" s="42"/>
      <c r="U270" s="43">
        <f>M274/T269-1</f>
        <v>1.13473684210526</v>
      </c>
      <c r="V270" s="12"/>
      <c r="W270" s="12"/>
      <c r="X270" s="12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</row>
    <row r="271" s="2" customFormat="1" customHeight="1" spans="1:40">
      <c r="A271" s="5"/>
      <c r="B271" s="115" t="s">
        <v>28</v>
      </c>
      <c r="C271" s="14" t="s">
        <v>29</v>
      </c>
      <c r="D271" s="14" t="s">
        <v>30</v>
      </c>
      <c r="E271" s="14" t="s">
        <v>31</v>
      </c>
      <c r="F271" s="15" t="s">
        <v>32</v>
      </c>
      <c r="G271" s="15" t="s">
        <v>33</v>
      </c>
      <c r="H271" s="14"/>
      <c r="I271" s="14"/>
      <c r="J271" s="14" t="s">
        <v>34</v>
      </c>
      <c r="K271" s="14" t="s">
        <v>35</v>
      </c>
      <c r="L271" s="14" t="s">
        <v>36</v>
      </c>
      <c r="M271" s="14" t="s">
        <v>37</v>
      </c>
      <c r="N271" s="91" t="s">
        <v>38</v>
      </c>
      <c r="O271" s="91" t="s">
        <v>39</v>
      </c>
      <c r="P271" s="91" t="s">
        <v>40</v>
      </c>
      <c r="Q271" s="91" t="s">
        <v>41</v>
      </c>
      <c r="R271" s="91" t="s">
        <v>42</v>
      </c>
      <c r="S271" s="91" t="s">
        <v>43</v>
      </c>
      <c r="T271" s="91" t="s">
        <v>44</v>
      </c>
      <c r="U271" s="92" t="s">
        <v>45</v>
      </c>
      <c r="V271" s="65" t="s">
        <v>46</v>
      </c>
      <c r="W271" s="65" t="s">
        <v>47</v>
      </c>
      <c r="X271" s="120" t="s">
        <v>48</v>
      </c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</row>
    <row r="272" s="2" customFormat="1" customHeight="1" spans="1:40">
      <c r="A272" s="5"/>
      <c r="B272" s="16" t="s">
        <v>49</v>
      </c>
      <c r="C272" s="12">
        <v>10000</v>
      </c>
      <c r="D272" s="12" t="s">
        <v>374</v>
      </c>
      <c r="E272" s="12">
        <v>11</v>
      </c>
      <c r="F272" s="13">
        <v>5000</v>
      </c>
      <c r="G272" s="13">
        <v>5000</v>
      </c>
      <c r="H272" s="12"/>
      <c r="I272" s="12"/>
      <c r="J272" s="12">
        <v>8136.8</v>
      </c>
      <c r="K272" s="12">
        <v>308909</v>
      </c>
      <c r="L272" s="42">
        <v>71000</v>
      </c>
      <c r="M272" s="42">
        <v>2319</v>
      </c>
      <c r="N272" s="46">
        <v>0.0327</v>
      </c>
      <c r="O272" s="42">
        <v>1010</v>
      </c>
      <c r="P272" s="48">
        <f>J272/L272</f>
        <v>0.114602816901408</v>
      </c>
      <c r="Q272" s="48">
        <f>J272/M272</f>
        <v>3.50875377317809</v>
      </c>
      <c r="R272" s="42">
        <v>6965</v>
      </c>
      <c r="S272" s="48">
        <v>6.4</v>
      </c>
      <c r="T272" s="12">
        <v>1</v>
      </c>
      <c r="U272" s="46">
        <v>0.2</v>
      </c>
      <c r="V272" s="68">
        <v>0.455</v>
      </c>
      <c r="W272" s="68">
        <v>0.545</v>
      </c>
      <c r="X272" s="69">
        <f t="shared" ref="X272:X274" si="56">E272</f>
        <v>11</v>
      </c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</row>
    <row r="273" s="2" customFormat="1" customHeight="1" spans="1:40">
      <c r="A273" s="5"/>
      <c r="B273" s="16" t="s">
        <v>50</v>
      </c>
      <c r="C273" s="12">
        <f>F273+G273</f>
        <v>12000</v>
      </c>
      <c r="D273" s="12" t="s">
        <v>374</v>
      </c>
      <c r="E273" s="12">
        <v>18</v>
      </c>
      <c r="F273" s="13">
        <v>6000</v>
      </c>
      <c r="G273" s="13">
        <v>6000</v>
      </c>
      <c r="H273" s="12"/>
      <c r="I273" s="12"/>
      <c r="J273" s="12">
        <v>7152.8</v>
      </c>
      <c r="K273" s="12">
        <v>117687</v>
      </c>
      <c r="L273" s="42">
        <v>35565</v>
      </c>
      <c r="M273" s="42">
        <v>1352</v>
      </c>
      <c r="N273" s="46">
        <v>0.0380149022915788</v>
      </c>
      <c r="O273" s="42">
        <v>661</v>
      </c>
      <c r="P273" s="48">
        <v>0.201119077744974</v>
      </c>
      <c r="Q273" s="48">
        <v>5.2905325443787</v>
      </c>
      <c r="R273" s="42">
        <v>2155</v>
      </c>
      <c r="S273" s="48">
        <v>3.41824129930394</v>
      </c>
      <c r="T273" s="12">
        <v>0</v>
      </c>
      <c r="U273" s="46">
        <v>0</v>
      </c>
      <c r="V273" s="68">
        <v>1</v>
      </c>
      <c r="W273" s="68">
        <v>0</v>
      </c>
      <c r="X273" s="69">
        <f t="shared" si="56"/>
        <v>18</v>
      </c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</row>
    <row r="274" s="2" customFormat="1" customHeight="1" spans="1:40">
      <c r="A274" s="5"/>
      <c r="B274" s="16" t="s">
        <v>51</v>
      </c>
      <c r="C274" s="12">
        <v>4500</v>
      </c>
      <c r="D274" s="12" t="s">
        <v>374</v>
      </c>
      <c r="E274" s="12">
        <v>15</v>
      </c>
      <c r="F274" s="13">
        <v>5000</v>
      </c>
      <c r="G274" s="13">
        <v>5000</v>
      </c>
      <c r="H274" s="12"/>
      <c r="I274" s="12"/>
      <c r="J274" s="12">
        <v>5000</v>
      </c>
      <c r="K274" s="12">
        <v>198210</v>
      </c>
      <c r="L274" s="42">
        <v>22411</v>
      </c>
      <c r="M274" s="42">
        <v>2028</v>
      </c>
      <c r="N274" s="46">
        <v>0.0904912766052385</v>
      </c>
      <c r="O274" s="42">
        <v>911</v>
      </c>
      <c r="P274" s="48">
        <v>0.223104725358083</v>
      </c>
      <c r="Q274" s="48">
        <v>2.465483234714</v>
      </c>
      <c r="R274" s="42">
        <v>0</v>
      </c>
      <c r="S274" s="48" t="e">
        <v>#DIV/0!</v>
      </c>
      <c r="T274" s="12">
        <v>0</v>
      </c>
      <c r="U274" s="46">
        <v>0</v>
      </c>
      <c r="V274" s="68">
        <v>1</v>
      </c>
      <c r="W274" s="68">
        <v>0</v>
      </c>
      <c r="X274" s="69">
        <f t="shared" si="56"/>
        <v>15</v>
      </c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</row>
    <row r="275" s="2" customFormat="1" customHeight="1" spans="1:40">
      <c r="A275" s="5"/>
      <c r="B275" s="9" t="s">
        <v>53</v>
      </c>
      <c r="C275" s="9"/>
      <c r="D275" s="9"/>
      <c r="E275" s="9"/>
      <c r="F275" s="18"/>
      <c r="G275" s="18"/>
      <c r="H275" s="9"/>
      <c r="I275" s="9"/>
      <c r="J275" s="9" t="s">
        <v>54</v>
      </c>
      <c r="K275" s="9"/>
      <c r="L275" s="11" t="s">
        <v>31</v>
      </c>
      <c r="M275" s="11"/>
      <c r="N275" s="11" t="s">
        <v>35</v>
      </c>
      <c r="O275" s="11"/>
      <c r="P275" s="11" t="s">
        <v>36</v>
      </c>
      <c r="Q275" s="11"/>
      <c r="R275" s="11" t="s">
        <v>37</v>
      </c>
      <c r="S275" s="11"/>
      <c r="T275" s="9" t="s">
        <v>46</v>
      </c>
      <c r="U275" s="9" t="s">
        <v>47</v>
      </c>
      <c r="V275" s="24" t="s">
        <v>55</v>
      </c>
      <c r="W275" s="24"/>
      <c r="X275" s="24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</row>
    <row r="276" s="2" customFormat="1" customHeight="1" spans="1:40">
      <c r="A276" s="5"/>
      <c r="B276" s="16" t="s">
        <v>56</v>
      </c>
      <c r="C276" s="12" t="s">
        <v>57</v>
      </c>
      <c r="D276" s="12"/>
      <c r="E276" s="12" t="s">
        <v>58</v>
      </c>
      <c r="F276" s="19" t="s">
        <v>59</v>
      </c>
      <c r="G276" s="19" t="s">
        <v>60</v>
      </c>
      <c r="H276" s="20" t="s">
        <v>61</v>
      </c>
      <c r="I276" s="20" t="s">
        <v>62</v>
      </c>
      <c r="J276" s="12">
        <f>J294</f>
        <v>5000</v>
      </c>
      <c r="K276" s="53" t="s">
        <v>63</v>
      </c>
      <c r="L276" s="12">
        <v>15</v>
      </c>
      <c r="M276" s="53" t="s">
        <v>63</v>
      </c>
      <c r="N276" s="12">
        <f>K294</f>
        <v>198210</v>
      </c>
      <c r="O276" s="53" t="s">
        <v>63</v>
      </c>
      <c r="P276" s="12">
        <f>L294</f>
        <v>22411</v>
      </c>
      <c r="Q276" s="53" t="s">
        <v>63</v>
      </c>
      <c r="R276" s="12">
        <f>M294</f>
        <v>2028</v>
      </c>
      <c r="S276" s="53" t="s">
        <v>63</v>
      </c>
      <c r="T276" s="46">
        <v>1</v>
      </c>
      <c r="U276" s="93">
        <v>0</v>
      </c>
      <c r="V276" s="24"/>
      <c r="W276" s="24"/>
      <c r="X276" s="24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</row>
    <row r="277" s="2" customFormat="1" customHeight="1" spans="1:40">
      <c r="A277" s="5"/>
      <c r="B277" s="16"/>
      <c r="C277" s="12"/>
      <c r="D277" s="12"/>
      <c r="E277" s="12"/>
      <c r="F277" s="19"/>
      <c r="G277" s="19"/>
      <c r="H277" s="20"/>
      <c r="I277" s="20"/>
      <c r="J277" s="12"/>
      <c r="K277" s="43">
        <f>J276/J273-1</f>
        <v>-0.300973045520635</v>
      </c>
      <c r="L277" s="12"/>
      <c r="M277" s="43">
        <f>L276/E273-1</f>
        <v>-0.166666666666667</v>
      </c>
      <c r="N277" s="12"/>
      <c r="O277" s="43">
        <f>N276/K273-1</f>
        <v>0.684213209615335</v>
      </c>
      <c r="P277" s="12"/>
      <c r="Q277" s="43">
        <f>P276/L273-1</f>
        <v>-0.369858006467032</v>
      </c>
      <c r="R277" s="12"/>
      <c r="S277" s="43">
        <f>R276/M273-1</f>
        <v>0.5</v>
      </c>
      <c r="T277" s="12"/>
      <c r="U277" s="53"/>
      <c r="V277" s="24"/>
      <c r="W277" s="24"/>
      <c r="X277" s="24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</row>
    <row r="278" s="2" customFormat="1" customHeight="1" spans="1:40">
      <c r="A278" s="5"/>
      <c r="B278" s="16"/>
      <c r="C278" s="12"/>
      <c r="D278" s="12"/>
      <c r="E278" s="12"/>
      <c r="F278" s="19"/>
      <c r="G278" s="19"/>
      <c r="H278" s="20"/>
      <c r="I278" s="20"/>
      <c r="J278" s="54" t="s">
        <v>34</v>
      </c>
      <c r="K278" s="55" t="s">
        <v>35</v>
      </c>
      <c r="L278" s="55" t="s">
        <v>36</v>
      </c>
      <c r="M278" s="55" t="s">
        <v>37</v>
      </c>
      <c r="N278" s="55" t="s">
        <v>38</v>
      </c>
      <c r="O278" s="56" t="s">
        <v>39</v>
      </c>
      <c r="P278" s="55" t="s">
        <v>40</v>
      </c>
      <c r="Q278" s="55" t="s">
        <v>41</v>
      </c>
      <c r="R278" s="54" t="s">
        <v>42</v>
      </c>
      <c r="S278" s="54" t="s">
        <v>43</v>
      </c>
      <c r="T278" s="55" t="s">
        <v>64</v>
      </c>
      <c r="U278" s="55" t="s">
        <v>65</v>
      </c>
      <c r="V278" s="24" t="s">
        <v>375</v>
      </c>
      <c r="W278" s="24"/>
      <c r="X278" s="24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</row>
    <row r="279" s="2" customFormat="1" customHeight="1" spans="1:40">
      <c r="A279" s="5"/>
      <c r="B279" s="116" t="s">
        <v>374</v>
      </c>
      <c r="C279" s="12" t="s">
        <v>67</v>
      </c>
      <c r="D279" s="21" t="s">
        <v>68</v>
      </c>
      <c r="E279" s="12" t="s">
        <v>376</v>
      </c>
      <c r="F279" s="13" t="s">
        <v>377</v>
      </c>
      <c r="G279" s="13" t="s">
        <v>378</v>
      </c>
      <c r="H279" s="22">
        <v>45460</v>
      </c>
      <c r="I279" s="13" t="s">
        <v>146</v>
      </c>
      <c r="J279" s="12">
        <v>5000</v>
      </c>
      <c r="K279" s="13">
        <v>2136</v>
      </c>
      <c r="L279" s="13">
        <v>458</v>
      </c>
      <c r="M279" s="13">
        <v>23</v>
      </c>
      <c r="N279" s="46">
        <f t="shared" ref="N279:N306" si="57">M279/L279</f>
        <v>0.0502183406113537</v>
      </c>
      <c r="O279" s="13">
        <v>12</v>
      </c>
      <c r="P279" s="47">
        <f t="shared" ref="P279:P306" si="58">J279/L279</f>
        <v>10.9170305676856</v>
      </c>
      <c r="Q279" s="47">
        <f t="shared" ref="Q279:Q306" si="59">J279/M279</f>
        <v>217.391304347826</v>
      </c>
      <c r="R279" s="137" t="s">
        <v>146</v>
      </c>
      <c r="S279" s="137" t="s">
        <v>146</v>
      </c>
      <c r="T279" s="12" t="s">
        <v>154</v>
      </c>
      <c r="U279" s="12" t="s">
        <v>73</v>
      </c>
      <c r="V279" s="24"/>
      <c r="W279" s="24"/>
      <c r="X279" s="24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</row>
    <row r="280" s="2" customFormat="1" customHeight="1" spans="1:40">
      <c r="A280" s="5"/>
      <c r="B280" s="117"/>
      <c r="C280" s="12" t="s">
        <v>74</v>
      </c>
      <c r="D280" s="23"/>
      <c r="E280" s="12" t="s">
        <v>379</v>
      </c>
      <c r="F280" s="13" t="s">
        <v>380</v>
      </c>
      <c r="G280" s="13" t="s">
        <v>381</v>
      </c>
      <c r="H280" s="22">
        <v>45459</v>
      </c>
      <c r="I280" s="13" t="s">
        <v>146</v>
      </c>
      <c r="J280" s="12">
        <v>0</v>
      </c>
      <c r="K280" s="13">
        <v>3723</v>
      </c>
      <c r="L280" s="13">
        <v>468</v>
      </c>
      <c r="M280" s="13">
        <v>57</v>
      </c>
      <c r="N280" s="46">
        <f t="shared" si="57"/>
        <v>0.121794871794872</v>
      </c>
      <c r="O280" s="13">
        <v>28</v>
      </c>
      <c r="P280" s="47">
        <f t="shared" si="58"/>
        <v>0</v>
      </c>
      <c r="Q280" s="47">
        <f t="shared" si="59"/>
        <v>0</v>
      </c>
      <c r="R280" s="137" t="s">
        <v>146</v>
      </c>
      <c r="S280" s="137" t="s">
        <v>146</v>
      </c>
      <c r="T280" s="12" t="s">
        <v>154</v>
      </c>
      <c r="U280" s="12" t="s">
        <v>73</v>
      </c>
      <c r="V280" s="24"/>
      <c r="W280" s="24"/>
      <c r="X280" s="24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</row>
    <row r="281" s="2" customFormat="1" customHeight="1" spans="1:40">
      <c r="A281" s="5"/>
      <c r="B281" s="117"/>
      <c r="C281" s="12" t="s">
        <v>74</v>
      </c>
      <c r="D281" s="23"/>
      <c r="E281" s="12" t="s">
        <v>382</v>
      </c>
      <c r="F281" s="13" t="s">
        <v>383</v>
      </c>
      <c r="G281" s="13" t="s">
        <v>384</v>
      </c>
      <c r="H281" s="22">
        <v>45456</v>
      </c>
      <c r="I281" s="13" t="s">
        <v>146</v>
      </c>
      <c r="J281" s="12">
        <v>0</v>
      </c>
      <c r="K281" s="13">
        <v>1899</v>
      </c>
      <c r="L281" s="13">
        <v>139</v>
      </c>
      <c r="M281" s="13">
        <v>67</v>
      </c>
      <c r="N281" s="46">
        <f t="shared" si="57"/>
        <v>0.482014388489209</v>
      </c>
      <c r="O281" s="13">
        <v>24</v>
      </c>
      <c r="P281" s="47">
        <f t="shared" si="58"/>
        <v>0</v>
      </c>
      <c r="Q281" s="47">
        <f t="shared" si="59"/>
        <v>0</v>
      </c>
      <c r="R281" s="137" t="s">
        <v>146</v>
      </c>
      <c r="S281" s="137" t="s">
        <v>146</v>
      </c>
      <c r="T281" s="12" t="s">
        <v>154</v>
      </c>
      <c r="U281" s="12" t="s">
        <v>73</v>
      </c>
      <c r="V281" s="24"/>
      <c r="W281" s="24"/>
      <c r="X281" s="24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</row>
    <row r="282" s="2" customFormat="1" customHeight="1" spans="1:40">
      <c r="A282" s="5"/>
      <c r="B282" s="117"/>
      <c r="C282" s="12" t="s">
        <v>74</v>
      </c>
      <c r="D282" s="23"/>
      <c r="E282" s="12" t="s">
        <v>385</v>
      </c>
      <c r="F282" s="13" t="s">
        <v>386</v>
      </c>
      <c r="G282" s="13" t="s">
        <v>387</v>
      </c>
      <c r="H282" s="22">
        <v>45455</v>
      </c>
      <c r="I282" s="13" t="s">
        <v>146</v>
      </c>
      <c r="J282" s="12">
        <v>0</v>
      </c>
      <c r="K282" s="13">
        <v>1932</v>
      </c>
      <c r="L282" s="13">
        <v>191</v>
      </c>
      <c r="M282" s="13">
        <v>14</v>
      </c>
      <c r="N282" s="46">
        <f t="shared" si="57"/>
        <v>0.0732984293193717</v>
      </c>
      <c r="O282" s="13">
        <v>5</v>
      </c>
      <c r="P282" s="47">
        <f t="shared" si="58"/>
        <v>0</v>
      </c>
      <c r="Q282" s="47">
        <f t="shared" si="59"/>
        <v>0</v>
      </c>
      <c r="R282" s="137" t="s">
        <v>146</v>
      </c>
      <c r="S282" s="137" t="s">
        <v>146</v>
      </c>
      <c r="T282" s="12" t="s">
        <v>154</v>
      </c>
      <c r="U282" s="12" t="s">
        <v>73</v>
      </c>
      <c r="V282" s="24"/>
      <c r="W282" s="24"/>
      <c r="X282" s="24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</row>
    <row r="283" s="2" customFormat="1" customHeight="1" spans="1:40">
      <c r="A283" s="5"/>
      <c r="B283" s="117"/>
      <c r="C283" s="12" t="s">
        <v>74</v>
      </c>
      <c r="D283" s="23"/>
      <c r="E283" s="12" t="s">
        <v>388</v>
      </c>
      <c r="F283" s="13" t="s">
        <v>389</v>
      </c>
      <c r="G283" s="13" t="s">
        <v>390</v>
      </c>
      <c r="H283" s="22">
        <v>45455</v>
      </c>
      <c r="I283" s="13" t="s">
        <v>146</v>
      </c>
      <c r="J283" s="12">
        <v>0</v>
      </c>
      <c r="K283" s="13">
        <v>7470</v>
      </c>
      <c r="L283" s="13">
        <v>171</v>
      </c>
      <c r="M283" s="13">
        <v>60</v>
      </c>
      <c r="N283" s="46">
        <f t="shared" si="57"/>
        <v>0.350877192982456</v>
      </c>
      <c r="O283" s="13">
        <v>42</v>
      </c>
      <c r="P283" s="47">
        <f t="shared" si="58"/>
        <v>0</v>
      </c>
      <c r="Q283" s="47">
        <f t="shared" si="59"/>
        <v>0</v>
      </c>
      <c r="R283" s="137" t="s">
        <v>146</v>
      </c>
      <c r="S283" s="137" t="s">
        <v>146</v>
      </c>
      <c r="T283" s="12" t="s">
        <v>154</v>
      </c>
      <c r="U283" s="12" t="s">
        <v>78</v>
      </c>
      <c r="V283" s="24"/>
      <c r="W283" s="24"/>
      <c r="X283" s="24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</row>
    <row r="284" s="2" customFormat="1" customHeight="1" spans="1:40">
      <c r="A284" s="5"/>
      <c r="B284" s="117"/>
      <c r="C284" s="12" t="s">
        <v>74</v>
      </c>
      <c r="D284" s="23"/>
      <c r="E284" s="12" t="s">
        <v>391</v>
      </c>
      <c r="F284" s="13" t="s">
        <v>392</v>
      </c>
      <c r="G284" s="13" t="s">
        <v>393</v>
      </c>
      <c r="H284" s="22">
        <v>45454</v>
      </c>
      <c r="I284" s="13" t="s">
        <v>146</v>
      </c>
      <c r="J284" s="12">
        <v>0</v>
      </c>
      <c r="K284" s="13">
        <v>22323</v>
      </c>
      <c r="L284" s="13">
        <v>1149</v>
      </c>
      <c r="M284" s="13">
        <v>207</v>
      </c>
      <c r="N284" s="46">
        <f t="shared" si="57"/>
        <v>0.180156657963446</v>
      </c>
      <c r="O284" s="13">
        <v>151</v>
      </c>
      <c r="P284" s="47">
        <f t="shared" si="58"/>
        <v>0</v>
      </c>
      <c r="Q284" s="47">
        <f t="shared" si="59"/>
        <v>0</v>
      </c>
      <c r="R284" s="137" t="s">
        <v>146</v>
      </c>
      <c r="S284" s="137" t="s">
        <v>146</v>
      </c>
      <c r="T284" s="12" t="s">
        <v>154</v>
      </c>
      <c r="U284" s="12" t="s">
        <v>78</v>
      </c>
      <c r="V284" s="24"/>
      <c r="W284" s="24"/>
      <c r="X284" s="24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</row>
    <row r="285" s="2" customFormat="1" customHeight="1" spans="1:40">
      <c r="A285" s="5"/>
      <c r="B285" s="117"/>
      <c r="C285" s="12" t="s">
        <v>74</v>
      </c>
      <c r="D285" s="23"/>
      <c r="E285" s="12" t="s">
        <v>394</v>
      </c>
      <c r="F285" s="13" t="s">
        <v>395</v>
      </c>
      <c r="G285" s="13" t="s">
        <v>396</v>
      </c>
      <c r="H285" s="22">
        <v>45454</v>
      </c>
      <c r="I285" s="13" t="s">
        <v>146</v>
      </c>
      <c r="J285" s="12">
        <v>0</v>
      </c>
      <c r="K285" s="13">
        <v>25016</v>
      </c>
      <c r="L285" s="13">
        <v>11902</v>
      </c>
      <c r="M285" s="13">
        <v>132</v>
      </c>
      <c r="N285" s="46">
        <f t="shared" si="57"/>
        <v>0.011090573012939</v>
      </c>
      <c r="O285" s="13">
        <v>76</v>
      </c>
      <c r="P285" s="47">
        <f t="shared" si="58"/>
        <v>0</v>
      </c>
      <c r="Q285" s="47">
        <f t="shared" si="59"/>
        <v>0</v>
      </c>
      <c r="R285" s="137" t="s">
        <v>146</v>
      </c>
      <c r="S285" s="137" t="s">
        <v>146</v>
      </c>
      <c r="T285" s="12" t="s">
        <v>154</v>
      </c>
      <c r="U285" s="12" t="s">
        <v>78</v>
      </c>
      <c r="V285" s="24"/>
      <c r="W285" s="24"/>
      <c r="X285" s="24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</row>
    <row r="286" s="2" customFormat="1" customHeight="1" spans="1:40">
      <c r="A286" s="5"/>
      <c r="B286" s="117"/>
      <c r="C286" s="12" t="s">
        <v>74</v>
      </c>
      <c r="D286" s="23"/>
      <c r="E286" s="12" t="s">
        <v>397</v>
      </c>
      <c r="F286" s="13" t="s">
        <v>398</v>
      </c>
      <c r="G286" s="13" t="s">
        <v>399</v>
      </c>
      <c r="H286" s="22">
        <v>45454</v>
      </c>
      <c r="I286" s="13" t="s">
        <v>146</v>
      </c>
      <c r="J286" s="12">
        <v>0</v>
      </c>
      <c r="K286" s="13">
        <v>14145</v>
      </c>
      <c r="L286" s="13">
        <v>295</v>
      </c>
      <c r="M286" s="13">
        <v>112</v>
      </c>
      <c r="N286" s="46">
        <f t="shared" si="57"/>
        <v>0.379661016949153</v>
      </c>
      <c r="O286" s="13">
        <v>58</v>
      </c>
      <c r="P286" s="47">
        <f t="shared" si="58"/>
        <v>0</v>
      </c>
      <c r="Q286" s="47">
        <f t="shared" si="59"/>
        <v>0</v>
      </c>
      <c r="R286" s="137" t="s">
        <v>146</v>
      </c>
      <c r="S286" s="137" t="s">
        <v>146</v>
      </c>
      <c r="T286" s="12" t="s">
        <v>154</v>
      </c>
      <c r="U286" s="12" t="s">
        <v>78</v>
      </c>
      <c r="V286" s="24"/>
      <c r="W286" s="24"/>
      <c r="X286" s="24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</row>
    <row r="287" s="2" customFormat="1" customHeight="1" spans="1:40">
      <c r="A287" s="5"/>
      <c r="B287" s="117"/>
      <c r="C287" s="12" t="s">
        <v>74</v>
      </c>
      <c r="D287" s="23"/>
      <c r="E287" s="12" t="s">
        <v>400</v>
      </c>
      <c r="F287" s="13" t="s">
        <v>401</v>
      </c>
      <c r="G287" s="13" t="s">
        <v>402</v>
      </c>
      <c r="H287" s="22">
        <v>45452</v>
      </c>
      <c r="I287" s="13" t="s">
        <v>146</v>
      </c>
      <c r="J287" s="12">
        <v>0</v>
      </c>
      <c r="K287" s="13">
        <v>17367</v>
      </c>
      <c r="L287" s="13">
        <v>934</v>
      </c>
      <c r="M287" s="13">
        <v>449</v>
      </c>
      <c r="N287" s="46">
        <f t="shared" si="57"/>
        <v>0.480728051391863</v>
      </c>
      <c r="O287" s="13">
        <v>132</v>
      </c>
      <c r="P287" s="47">
        <f t="shared" si="58"/>
        <v>0</v>
      </c>
      <c r="Q287" s="47">
        <f t="shared" si="59"/>
        <v>0</v>
      </c>
      <c r="R287" s="137" t="s">
        <v>146</v>
      </c>
      <c r="S287" s="137" t="s">
        <v>146</v>
      </c>
      <c r="T287" s="12" t="s">
        <v>154</v>
      </c>
      <c r="U287" s="12" t="s">
        <v>78</v>
      </c>
      <c r="V287" s="24"/>
      <c r="W287" s="24"/>
      <c r="X287" s="24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 s="2" customFormat="1" customHeight="1" spans="1:40">
      <c r="A288" s="5"/>
      <c r="B288" s="117"/>
      <c r="C288" s="12" t="s">
        <v>74</v>
      </c>
      <c r="D288" s="23"/>
      <c r="E288" s="12" t="s">
        <v>403</v>
      </c>
      <c r="F288" s="13" t="s">
        <v>404</v>
      </c>
      <c r="G288" s="13" t="s">
        <v>405</v>
      </c>
      <c r="H288" s="22">
        <v>45451</v>
      </c>
      <c r="I288" s="13" t="s">
        <v>146</v>
      </c>
      <c r="J288" s="12">
        <v>0</v>
      </c>
      <c r="K288" s="13">
        <v>8418</v>
      </c>
      <c r="L288" s="13">
        <v>1174</v>
      </c>
      <c r="M288" s="13">
        <v>103</v>
      </c>
      <c r="N288" s="46">
        <f t="shared" si="57"/>
        <v>0.0877342419080068</v>
      </c>
      <c r="O288" s="13">
        <v>48</v>
      </c>
      <c r="P288" s="47">
        <f t="shared" si="58"/>
        <v>0</v>
      </c>
      <c r="Q288" s="47">
        <f t="shared" si="59"/>
        <v>0</v>
      </c>
      <c r="R288" s="137" t="s">
        <v>146</v>
      </c>
      <c r="S288" s="137" t="s">
        <v>146</v>
      </c>
      <c r="T288" s="12" t="s">
        <v>154</v>
      </c>
      <c r="U288" s="12" t="s">
        <v>78</v>
      </c>
      <c r="V288" s="24"/>
      <c r="W288" s="24"/>
      <c r="X288" s="24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 s="2" customFormat="1" customHeight="1" spans="1:40">
      <c r="A289" s="5"/>
      <c r="B289" s="117"/>
      <c r="C289" s="12" t="s">
        <v>67</v>
      </c>
      <c r="D289" s="23"/>
      <c r="E289" s="12" t="s">
        <v>406</v>
      </c>
      <c r="F289" s="12" t="s">
        <v>407</v>
      </c>
      <c r="G289" s="12" t="s">
        <v>408</v>
      </c>
      <c r="H289" s="22">
        <v>45451</v>
      </c>
      <c r="I289" s="13" t="s">
        <v>146</v>
      </c>
      <c r="J289" s="12">
        <v>0</v>
      </c>
      <c r="K289" s="13">
        <v>30994</v>
      </c>
      <c r="L289" s="13">
        <v>3160</v>
      </c>
      <c r="M289" s="13">
        <v>281</v>
      </c>
      <c r="N289" s="46">
        <f t="shared" si="57"/>
        <v>0.0889240506329114</v>
      </c>
      <c r="O289" s="13">
        <v>94</v>
      </c>
      <c r="P289" s="47">
        <f t="shared" si="58"/>
        <v>0</v>
      </c>
      <c r="Q289" s="47">
        <f t="shared" si="59"/>
        <v>0</v>
      </c>
      <c r="R289" s="137" t="s">
        <v>146</v>
      </c>
      <c r="S289" s="137" t="s">
        <v>146</v>
      </c>
      <c r="T289" s="12" t="s">
        <v>154</v>
      </c>
      <c r="U289" s="12" t="s">
        <v>73</v>
      </c>
      <c r="V289" s="24"/>
      <c r="W289" s="24"/>
      <c r="X289" s="24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</row>
    <row r="290" s="2" customFormat="1" customHeight="1" spans="1:40">
      <c r="A290" s="5"/>
      <c r="B290" s="117"/>
      <c r="C290" s="12" t="s">
        <v>74</v>
      </c>
      <c r="D290" s="23"/>
      <c r="E290" s="12" t="s">
        <v>409</v>
      </c>
      <c r="F290" s="13" t="s">
        <v>410</v>
      </c>
      <c r="G290" s="13" t="s">
        <v>411</v>
      </c>
      <c r="H290" s="22">
        <v>45450</v>
      </c>
      <c r="I290" s="13" t="s">
        <v>146</v>
      </c>
      <c r="J290" s="12">
        <v>0</v>
      </c>
      <c r="K290" s="13">
        <v>6117</v>
      </c>
      <c r="L290" s="13">
        <v>198</v>
      </c>
      <c r="M290" s="13">
        <v>124</v>
      </c>
      <c r="N290" s="46">
        <f t="shared" si="57"/>
        <v>0.626262626262626</v>
      </c>
      <c r="O290" s="13">
        <v>81</v>
      </c>
      <c r="P290" s="47">
        <f t="shared" si="58"/>
        <v>0</v>
      </c>
      <c r="Q290" s="47">
        <f t="shared" si="59"/>
        <v>0</v>
      </c>
      <c r="R290" s="137" t="s">
        <v>146</v>
      </c>
      <c r="S290" s="137" t="s">
        <v>146</v>
      </c>
      <c r="T290" s="12" t="s">
        <v>154</v>
      </c>
      <c r="U290" s="12" t="s">
        <v>73</v>
      </c>
      <c r="V290" s="24"/>
      <c r="W290" s="24"/>
      <c r="X290" s="24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</row>
    <row r="291" s="2" customFormat="1" customHeight="1" spans="1:40">
      <c r="A291" s="5"/>
      <c r="B291" s="117"/>
      <c r="C291" s="12" t="s">
        <v>74</v>
      </c>
      <c r="D291" s="23"/>
      <c r="E291" s="12" t="s">
        <v>412</v>
      </c>
      <c r="F291" s="13" t="s">
        <v>413</v>
      </c>
      <c r="G291" s="13" t="s">
        <v>414</v>
      </c>
      <c r="H291" s="22">
        <v>45449</v>
      </c>
      <c r="I291" s="13" t="s">
        <v>146</v>
      </c>
      <c r="J291" s="12">
        <v>0</v>
      </c>
      <c r="K291" s="13">
        <v>37160</v>
      </c>
      <c r="L291" s="13">
        <v>637</v>
      </c>
      <c r="M291" s="13">
        <v>132</v>
      </c>
      <c r="N291" s="46">
        <f t="shared" si="57"/>
        <v>0.207221350078493</v>
      </c>
      <c r="O291" s="13">
        <v>73</v>
      </c>
      <c r="P291" s="47">
        <f t="shared" si="58"/>
        <v>0</v>
      </c>
      <c r="Q291" s="47">
        <f t="shared" si="59"/>
        <v>0</v>
      </c>
      <c r="R291" s="137" t="s">
        <v>146</v>
      </c>
      <c r="S291" s="137" t="s">
        <v>146</v>
      </c>
      <c r="T291" s="12" t="s">
        <v>154</v>
      </c>
      <c r="U291" s="12" t="s">
        <v>78</v>
      </c>
      <c r="V291" s="24"/>
      <c r="W291" s="24"/>
      <c r="X291" s="24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</row>
    <row r="292" s="2" customFormat="1" customHeight="1" spans="1:40">
      <c r="A292" s="5"/>
      <c r="B292" s="117"/>
      <c r="C292" s="12" t="s">
        <v>74</v>
      </c>
      <c r="D292" s="23"/>
      <c r="E292" s="12" t="s">
        <v>415</v>
      </c>
      <c r="F292" s="13" t="s">
        <v>416</v>
      </c>
      <c r="G292" s="13" t="s">
        <v>417</v>
      </c>
      <c r="H292" s="22">
        <v>45449</v>
      </c>
      <c r="I292" s="13" t="s">
        <v>146</v>
      </c>
      <c r="J292" s="12">
        <v>0</v>
      </c>
      <c r="K292" s="13">
        <v>3368</v>
      </c>
      <c r="L292" s="13">
        <v>755</v>
      </c>
      <c r="M292" s="13">
        <v>8</v>
      </c>
      <c r="N292" s="46">
        <f t="shared" si="57"/>
        <v>0.0105960264900662</v>
      </c>
      <c r="O292" s="13">
        <v>4</v>
      </c>
      <c r="P292" s="47">
        <f t="shared" si="58"/>
        <v>0</v>
      </c>
      <c r="Q292" s="47">
        <f t="shared" si="59"/>
        <v>0</v>
      </c>
      <c r="R292" s="137" t="s">
        <v>146</v>
      </c>
      <c r="S292" s="137" t="s">
        <v>146</v>
      </c>
      <c r="T292" s="12" t="s">
        <v>154</v>
      </c>
      <c r="U292" s="12" t="s">
        <v>78</v>
      </c>
      <c r="V292" s="24"/>
      <c r="W292" s="24"/>
      <c r="X292" s="24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</row>
    <row r="293" s="2" customFormat="1" customHeight="1" spans="2:40">
      <c r="B293" s="117"/>
      <c r="C293" s="12" t="s">
        <v>74</v>
      </c>
      <c r="D293" s="23"/>
      <c r="E293" s="12" t="s">
        <v>418</v>
      </c>
      <c r="F293" s="13" t="s">
        <v>419</v>
      </c>
      <c r="G293" s="13" t="s">
        <v>420</v>
      </c>
      <c r="H293" s="22">
        <v>45448</v>
      </c>
      <c r="I293" s="13" t="s">
        <v>146</v>
      </c>
      <c r="J293" s="12">
        <v>0</v>
      </c>
      <c r="K293" s="13">
        <v>16142</v>
      </c>
      <c r="L293" s="13">
        <v>780</v>
      </c>
      <c r="M293" s="13">
        <v>259</v>
      </c>
      <c r="N293" s="46">
        <f t="shared" si="57"/>
        <v>0.332051282051282</v>
      </c>
      <c r="O293" s="13">
        <v>83</v>
      </c>
      <c r="P293" s="47">
        <f t="shared" si="58"/>
        <v>0</v>
      </c>
      <c r="Q293" s="47">
        <f t="shared" si="59"/>
        <v>0</v>
      </c>
      <c r="R293" s="137" t="s">
        <v>146</v>
      </c>
      <c r="S293" s="137" t="s">
        <v>146</v>
      </c>
      <c r="T293" s="12" t="s">
        <v>154</v>
      </c>
      <c r="U293" s="12" t="s">
        <v>78</v>
      </c>
      <c r="V293" s="12"/>
      <c r="W293" s="12"/>
      <c r="X293" s="12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</row>
    <row r="294" s="2" customFormat="1" customHeight="1" spans="1:40">
      <c r="A294" s="5"/>
      <c r="B294" s="117"/>
      <c r="C294" s="26"/>
      <c r="D294" s="27" t="s">
        <v>99</v>
      </c>
      <c r="E294" s="26"/>
      <c r="F294" s="28"/>
      <c r="G294" s="28"/>
      <c r="H294" s="29"/>
      <c r="I294" s="27">
        <f t="shared" ref="I294:M294" si="60">SUM(I279:I293)</f>
        <v>0</v>
      </c>
      <c r="J294" s="27">
        <f t="shared" si="60"/>
        <v>5000</v>
      </c>
      <c r="K294" s="27">
        <f t="shared" si="60"/>
        <v>198210</v>
      </c>
      <c r="L294" s="27">
        <f t="shared" si="60"/>
        <v>22411</v>
      </c>
      <c r="M294" s="27">
        <f t="shared" si="60"/>
        <v>2028</v>
      </c>
      <c r="N294" s="59">
        <f t="shared" si="57"/>
        <v>0.0904912766052385</v>
      </c>
      <c r="O294" s="27">
        <f>SUM(O279:O293)</f>
        <v>911</v>
      </c>
      <c r="P294" s="60">
        <f t="shared" si="58"/>
        <v>0.223104725358083</v>
      </c>
      <c r="Q294" s="60">
        <f t="shared" si="59"/>
        <v>2.465483234714</v>
      </c>
      <c r="R294" s="27">
        <f>SUM(R279:R293)</f>
        <v>0</v>
      </c>
      <c r="S294" s="60" t="e">
        <f>(J294+I294)/R294</f>
        <v>#DIV/0!</v>
      </c>
      <c r="T294" s="26"/>
      <c r="U294" s="26"/>
      <c r="V294" s="24"/>
      <c r="W294" s="24"/>
      <c r="X294" s="24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</row>
    <row r="295" s="2" customFormat="1" customHeight="1" spans="2:40">
      <c r="B295" s="117"/>
      <c r="C295" s="12" t="s">
        <v>74</v>
      </c>
      <c r="D295" s="23" t="s">
        <v>100</v>
      </c>
      <c r="E295" s="12" t="s">
        <v>421</v>
      </c>
      <c r="F295" s="13" t="s">
        <v>422</v>
      </c>
      <c r="G295" s="121" t="s">
        <v>52</v>
      </c>
      <c r="H295" s="122" t="s">
        <v>52</v>
      </c>
      <c r="I295" s="9"/>
      <c r="J295" s="13">
        <v>512</v>
      </c>
      <c r="K295" s="13">
        <v>31780</v>
      </c>
      <c r="L295" s="13">
        <v>2724</v>
      </c>
      <c r="M295" s="13">
        <v>353</v>
      </c>
      <c r="N295" s="46">
        <f t="shared" si="57"/>
        <v>0.129588839941263</v>
      </c>
      <c r="O295" s="13">
        <v>122</v>
      </c>
      <c r="P295" s="47">
        <f t="shared" si="58"/>
        <v>0.187958883994126</v>
      </c>
      <c r="Q295" s="47">
        <f t="shared" si="59"/>
        <v>1.45042492917847</v>
      </c>
      <c r="R295" s="9"/>
      <c r="S295" s="9"/>
      <c r="T295" s="9"/>
      <c r="U295" s="9"/>
      <c r="V295" s="12"/>
      <c r="W295" s="12"/>
      <c r="X295" s="12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</row>
    <row r="296" s="2" customFormat="1" customHeight="1" spans="2:40">
      <c r="B296" s="117"/>
      <c r="C296" s="12" t="s">
        <v>74</v>
      </c>
      <c r="D296" s="23"/>
      <c r="E296" s="12" t="s">
        <v>421</v>
      </c>
      <c r="F296" s="13" t="s">
        <v>422</v>
      </c>
      <c r="G296" s="121"/>
      <c r="H296" s="122"/>
      <c r="I296" s="9"/>
      <c r="J296" s="13">
        <v>1406</v>
      </c>
      <c r="K296" s="13">
        <v>105124</v>
      </c>
      <c r="L296" s="13">
        <v>8052</v>
      </c>
      <c r="M296" s="13">
        <v>961</v>
      </c>
      <c r="N296" s="46">
        <f t="shared" si="57"/>
        <v>0.119349230004968</v>
      </c>
      <c r="O296" s="13">
        <v>334</v>
      </c>
      <c r="P296" s="47">
        <f t="shared" si="58"/>
        <v>0.174615002483855</v>
      </c>
      <c r="Q296" s="47">
        <f t="shared" si="59"/>
        <v>1.4630593132154</v>
      </c>
      <c r="R296" s="9"/>
      <c r="S296" s="9"/>
      <c r="T296" s="9"/>
      <c r="U296" s="9"/>
      <c r="V296" s="12"/>
      <c r="W296" s="12"/>
      <c r="X296" s="12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</row>
    <row r="297" s="2" customFormat="1" customHeight="1" spans="2:40">
      <c r="B297" s="117"/>
      <c r="C297" s="12" t="s">
        <v>74</v>
      </c>
      <c r="D297" s="23"/>
      <c r="E297" s="12" t="s">
        <v>421</v>
      </c>
      <c r="F297" s="13" t="s">
        <v>422</v>
      </c>
      <c r="G297" s="121"/>
      <c r="H297" s="122"/>
      <c r="I297" s="9"/>
      <c r="J297" s="13">
        <v>33</v>
      </c>
      <c r="K297" s="13">
        <v>1705</v>
      </c>
      <c r="L297" s="13">
        <v>117</v>
      </c>
      <c r="M297" s="13">
        <v>31</v>
      </c>
      <c r="N297" s="46">
        <f t="shared" si="57"/>
        <v>0.264957264957265</v>
      </c>
      <c r="O297" s="13">
        <v>12</v>
      </c>
      <c r="P297" s="47">
        <f t="shared" si="58"/>
        <v>0.282051282051282</v>
      </c>
      <c r="Q297" s="47">
        <f t="shared" si="59"/>
        <v>1.06451612903226</v>
      </c>
      <c r="R297" s="9"/>
      <c r="S297" s="9"/>
      <c r="T297" s="9"/>
      <c r="U297" s="9"/>
      <c r="V297" s="12"/>
      <c r="W297" s="12"/>
      <c r="X297" s="12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</row>
    <row r="298" s="2" customFormat="1" customHeight="1" spans="2:40">
      <c r="B298" s="117"/>
      <c r="C298" s="12" t="s">
        <v>74</v>
      </c>
      <c r="D298" s="23"/>
      <c r="E298" s="12" t="s">
        <v>421</v>
      </c>
      <c r="F298" s="13" t="s">
        <v>422</v>
      </c>
      <c r="G298" s="121"/>
      <c r="H298" s="122"/>
      <c r="I298" s="9"/>
      <c r="J298" s="13">
        <v>216</v>
      </c>
      <c r="K298" s="13">
        <v>29405</v>
      </c>
      <c r="L298" s="13">
        <v>3178</v>
      </c>
      <c r="M298" s="13">
        <v>368</v>
      </c>
      <c r="N298" s="46">
        <f t="shared" si="57"/>
        <v>0.115796098174953</v>
      </c>
      <c r="O298" s="13">
        <v>119</v>
      </c>
      <c r="P298" s="47">
        <f t="shared" si="58"/>
        <v>0.0679672750157332</v>
      </c>
      <c r="Q298" s="47">
        <f t="shared" si="59"/>
        <v>0.58695652173913</v>
      </c>
      <c r="R298" s="9"/>
      <c r="S298" s="9"/>
      <c r="T298" s="9"/>
      <c r="U298" s="9"/>
      <c r="V298" s="12"/>
      <c r="W298" s="12"/>
      <c r="X298" s="12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</row>
    <row r="299" s="2" customFormat="1" customHeight="1" spans="2:40">
      <c r="B299" s="117"/>
      <c r="C299" s="12" t="s">
        <v>74</v>
      </c>
      <c r="D299" s="23"/>
      <c r="E299" s="12" t="s">
        <v>423</v>
      </c>
      <c r="F299" s="13" t="s">
        <v>424</v>
      </c>
      <c r="G299" s="121"/>
      <c r="H299" s="122"/>
      <c r="I299" s="9"/>
      <c r="J299" s="13">
        <v>2616</v>
      </c>
      <c r="K299" s="13">
        <v>115933</v>
      </c>
      <c r="L299" s="13">
        <v>5858</v>
      </c>
      <c r="M299" s="13">
        <v>1238</v>
      </c>
      <c r="N299" s="46">
        <f t="shared" si="57"/>
        <v>0.211334926596108</v>
      </c>
      <c r="O299" s="13">
        <v>484</v>
      </c>
      <c r="P299" s="47">
        <f t="shared" si="58"/>
        <v>0.446568794810516</v>
      </c>
      <c r="Q299" s="47">
        <f t="shared" si="59"/>
        <v>2.11308562197092</v>
      </c>
      <c r="R299" s="9"/>
      <c r="S299" s="9"/>
      <c r="T299" s="9"/>
      <c r="U299" s="9"/>
      <c r="V299" s="12"/>
      <c r="W299" s="12"/>
      <c r="X299" s="12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</row>
    <row r="300" s="2" customFormat="1" customHeight="1" spans="2:40">
      <c r="B300" s="117"/>
      <c r="C300" s="12" t="s">
        <v>74</v>
      </c>
      <c r="D300" s="23"/>
      <c r="E300" s="12" t="s">
        <v>423</v>
      </c>
      <c r="F300" s="13" t="s">
        <v>424</v>
      </c>
      <c r="G300" s="121"/>
      <c r="H300" s="122"/>
      <c r="I300" s="9"/>
      <c r="J300" s="13">
        <v>51</v>
      </c>
      <c r="K300" s="13">
        <v>8774</v>
      </c>
      <c r="L300" s="13">
        <v>732</v>
      </c>
      <c r="M300" s="13">
        <v>109</v>
      </c>
      <c r="N300" s="46">
        <f t="shared" si="57"/>
        <v>0.148907103825137</v>
      </c>
      <c r="O300" s="13">
        <v>44</v>
      </c>
      <c r="P300" s="47">
        <f t="shared" si="58"/>
        <v>0.069672131147541</v>
      </c>
      <c r="Q300" s="47">
        <f t="shared" si="59"/>
        <v>0.467889908256881</v>
      </c>
      <c r="R300" s="9"/>
      <c r="S300" s="9"/>
      <c r="T300" s="9"/>
      <c r="U300" s="9"/>
      <c r="V300" s="12"/>
      <c r="W300" s="12"/>
      <c r="X300" s="12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</row>
    <row r="301" s="2" customFormat="1" customHeight="1" spans="2:40">
      <c r="B301" s="117"/>
      <c r="C301" s="12" t="s">
        <v>74</v>
      </c>
      <c r="D301" s="23"/>
      <c r="E301" s="12" t="s">
        <v>425</v>
      </c>
      <c r="F301" s="13" t="s">
        <v>426</v>
      </c>
      <c r="G301" s="121"/>
      <c r="H301" s="122"/>
      <c r="I301" s="9"/>
      <c r="J301" s="13">
        <v>1</v>
      </c>
      <c r="K301" s="13">
        <v>89</v>
      </c>
      <c r="L301" s="13">
        <v>12</v>
      </c>
      <c r="M301" s="13">
        <v>2</v>
      </c>
      <c r="N301" s="46">
        <f t="shared" si="57"/>
        <v>0.166666666666667</v>
      </c>
      <c r="O301" s="13">
        <v>1</v>
      </c>
      <c r="P301" s="47">
        <f t="shared" si="58"/>
        <v>0.0833333333333333</v>
      </c>
      <c r="Q301" s="47">
        <f t="shared" si="59"/>
        <v>0.5</v>
      </c>
      <c r="R301" s="9"/>
      <c r="S301" s="9"/>
      <c r="T301" s="9"/>
      <c r="U301" s="9"/>
      <c r="V301" s="12"/>
      <c r="W301" s="12"/>
      <c r="X301" s="12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</row>
    <row r="302" s="2" customFormat="1" customHeight="1" spans="2:40">
      <c r="B302" s="117"/>
      <c r="C302" s="12" t="s">
        <v>74</v>
      </c>
      <c r="D302" s="23"/>
      <c r="E302" s="12" t="s">
        <v>427</v>
      </c>
      <c r="F302" s="13" t="s">
        <v>428</v>
      </c>
      <c r="G302" s="121"/>
      <c r="H302" s="122"/>
      <c r="I302" s="9"/>
      <c r="J302" s="13">
        <v>269</v>
      </c>
      <c r="K302" s="13">
        <v>10340</v>
      </c>
      <c r="L302" s="13">
        <v>374</v>
      </c>
      <c r="M302" s="13">
        <v>121</v>
      </c>
      <c r="N302" s="46">
        <f t="shared" si="57"/>
        <v>0.323529411764706</v>
      </c>
      <c r="O302" s="13">
        <v>40</v>
      </c>
      <c r="P302" s="47">
        <f t="shared" si="58"/>
        <v>0.719251336898396</v>
      </c>
      <c r="Q302" s="47">
        <f t="shared" si="59"/>
        <v>2.22314049586777</v>
      </c>
      <c r="R302" s="9"/>
      <c r="S302" s="9"/>
      <c r="T302" s="9"/>
      <c r="U302" s="9"/>
      <c r="V302" s="12"/>
      <c r="W302" s="12"/>
      <c r="X302" s="12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</row>
    <row r="303" s="2" customFormat="1" customHeight="1" spans="2:40">
      <c r="B303" s="117"/>
      <c r="C303" s="12" t="s">
        <v>74</v>
      </c>
      <c r="D303" s="23"/>
      <c r="E303" s="12" t="s">
        <v>427</v>
      </c>
      <c r="F303" s="13" t="s">
        <v>428</v>
      </c>
      <c r="G303" s="121"/>
      <c r="H303" s="122"/>
      <c r="I303" s="9"/>
      <c r="J303" s="13">
        <v>230</v>
      </c>
      <c r="K303" s="13">
        <v>7905</v>
      </c>
      <c r="L303" s="13">
        <v>356</v>
      </c>
      <c r="M303" s="13">
        <v>97</v>
      </c>
      <c r="N303" s="46">
        <f t="shared" si="57"/>
        <v>0.27247191011236</v>
      </c>
      <c r="O303" s="13">
        <v>33</v>
      </c>
      <c r="P303" s="47">
        <f t="shared" si="58"/>
        <v>0.646067415730337</v>
      </c>
      <c r="Q303" s="47">
        <f t="shared" si="59"/>
        <v>2.37113402061856</v>
      </c>
      <c r="R303" s="9"/>
      <c r="S303" s="9"/>
      <c r="T303" s="9"/>
      <c r="U303" s="9"/>
      <c r="V303" s="12"/>
      <c r="W303" s="12"/>
      <c r="X303" s="12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</row>
    <row r="304" s="2" customFormat="1" customHeight="1" spans="2:40">
      <c r="B304" s="117"/>
      <c r="C304" s="12" t="s">
        <v>74</v>
      </c>
      <c r="D304" s="23"/>
      <c r="E304" s="12" t="s">
        <v>427</v>
      </c>
      <c r="F304" s="13" t="s">
        <v>428</v>
      </c>
      <c r="G304" s="121"/>
      <c r="H304" s="122"/>
      <c r="I304" s="9"/>
      <c r="J304" s="13">
        <v>115</v>
      </c>
      <c r="K304" s="13">
        <v>3223</v>
      </c>
      <c r="L304" s="13">
        <v>127</v>
      </c>
      <c r="M304" s="13">
        <v>43</v>
      </c>
      <c r="N304" s="46">
        <f t="shared" si="57"/>
        <v>0.338582677165354</v>
      </c>
      <c r="O304" s="13">
        <v>16</v>
      </c>
      <c r="P304" s="47">
        <f t="shared" si="58"/>
        <v>0.905511811023622</v>
      </c>
      <c r="Q304" s="47">
        <f t="shared" si="59"/>
        <v>2.67441860465116</v>
      </c>
      <c r="R304" s="9"/>
      <c r="S304" s="9"/>
      <c r="T304" s="9"/>
      <c r="U304" s="9"/>
      <c r="V304" s="12"/>
      <c r="W304" s="12"/>
      <c r="X304" s="12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</row>
    <row r="305" s="2" customFormat="1" customHeight="1" spans="1:40">
      <c r="A305" s="5"/>
      <c r="B305" s="123"/>
      <c r="C305" s="27"/>
      <c r="D305" s="27" t="s">
        <v>131</v>
      </c>
      <c r="E305" s="27"/>
      <c r="F305" s="31"/>
      <c r="G305" s="31"/>
      <c r="H305" s="27"/>
      <c r="I305" s="27"/>
      <c r="J305" s="60">
        <f t="shared" ref="J305:M305" si="61">SUM(J295:J304)</f>
        <v>5449</v>
      </c>
      <c r="K305" s="27">
        <f t="shared" si="61"/>
        <v>314278</v>
      </c>
      <c r="L305" s="27">
        <f t="shared" si="61"/>
        <v>21530</v>
      </c>
      <c r="M305" s="27">
        <f t="shared" si="61"/>
        <v>3323</v>
      </c>
      <c r="N305" s="59">
        <f t="shared" si="57"/>
        <v>0.15434277751974</v>
      </c>
      <c r="O305" s="27">
        <f>SUM(O295:O304)</f>
        <v>1205</v>
      </c>
      <c r="P305" s="60">
        <f t="shared" si="58"/>
        <v>0.25308871342313</v>
      </c>
      <c r="Q305" s="60">
        <f t="shared" si="59"/>
        <v>1.63978332831779</v>
      </c>
      <c r="R305" s="27"/>
      <c r="S305" s="27"/>
      <c r="T305" s="27"/>
      <c r="U305" s="27"/>
      <c r="V305" s="24"/>
      <c r="W305" s="24"/>
      <c r="X305" s="24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</row>
    <row r="306" s="2" customFormat="1" customHeight="1" spans="1:40">
      <c r="A306" s="5"/>
      <c r="B306" s="27" t="s">
        <v>132</v>
      </c>
      <c r="C306" s="27"/>
      <c r="D306" s="27"/>
      <c r="E306" s="27"/>
      <c r="F306" s="31"/>
      <c r="G306" s="31"/>
      <c r="H306" s="27"/>
      <c r="I306" s="27"/>
      <c r="J306" s="27">
        <f t="shared" ref="J306:M306" si="62">J294+J305</f>
        <v>10449</v>
      </c>
      <c r="K306" s="27">
        <f t="shared" si="62"/>
        <v>512488</v>
      </c>
      <c r="L306" s="27">
        <f t="shared" si="62"/>
        <v>43941</v>
      </c>
      <c r="M306" s="27">
        <f t="shared" si="62"/>
        <v>5351</v>
      </c>
      <c r="N306" s="59">
        <f t="shared" si="57"/>
        <v>0.121776928153661</v>
      </c>
      <c r="O306" s="27">
        <f>O294+O305</f>
        <v>2116</v>
      </c>
      <c r="P306" s="60">
        <f t="shared" si="58"/>
        <v>0.237796135727453</v>
      </c>
      <c r="Q306" s="60">
        <f t="shared" si="59"/>
        <v>1.95271911792188</v>
      </c>
      <c r="R306" s="27"/>
      <c r="S306" s="27"/>
      <c r="T306" s="27"/>
      <c r="U306" s="27"/>
      <c r="V306" s="24"/>
      <c r="W306" s="24"/>
      <c r="X306" s="24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</row>
    <row r="307" s="2" customFormat="1" customHeight="1" spans="1:40">
      <c r="A307" s="5"/>
      <c r="B307" s="32" t="s">
        <v>133</v>
      </c>
      <c r="C307" s="32"/>
      <c r="D307" s="32"/>
      <c r="E307" s="32"/>
      <c r="F307" s="15" t="s">
        <v>32</v>
      </c>
      <c r="G307" s="15" t="s">
        <v>33</v>
      </c>
      <c r="H307" s="13" t="s">
        <v>52</v>
      </c>
      <c r="I307" s="13"/>
      <c r="J307" s="11" t="s">
        <v>15</v>
      </c>
      <c r="K307" s="11" t="s">
        <v>16</v>
      </c>
      <c r="L307" s="39" t="s">
        <v>17</v>
      </c>
      <c r="M307" s="39"/>
      <c r="N307" s="39" t="s">
        <v>18</v>
      </c>
      <c r="O307" s="39"/>
      <c r="P307" s="39" t="s">
        <v>19</v>
      </c>
      <c r="Q307" s="39"/>
      <c r="R307" s="39" t="s">
        <v>20</v>
      </c>
      <c r="S307" s="39"/>
      <c r="T307" s="39" t="s">
        <v>21</v>
      </c>
      <c r="U307" s="39"/>
      <c r="V307" s="24" t="s">
        <v>134</v>
      </c>
      <c r="W307" s="24"/>
      <c r="X307" s="24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</row>
    <row r="308" s="2" customFormat="1" customHeight="1" spans="1:40">
      <c r="A308" s="5"/>
      <c r="B308" s="32"/>
      <c r="C308" s="32"/>
      <c r="D308" s="32"/>
      <c r="E308" s="32"/>
      <c r="F308" s="13">
        <v>5000</v>
      </c>
      <c r="G308" s="13" t="s">
        <v>52</v>
      </c>
      <c r="H308" s="13"/>
      <c r="I308" s="13"/>
      <c r="J308" s="11"/>
      <c r="K308" s="11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24"/>
      <c r="W308" s="24"/>
      <c r="X308" s="24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</row>
    <row r="309" s="2" customFormat="1" customHeight="1" spans="1:40">
      <c r="A309" s="5"/>
      <c r="B309" s="124" t="s">
        <v>429</v>
      </c>
      <c r="C309" s="125"/>
      <c r="D309" s="125"/>
      <c r="E309" s="126"/>
      <c r="F309" s="13"/>
      <c r="G309" s="13"/>
      <c r="H309" s="13"/>
      <c r="I309" s="13"/>
      <c r="J309" s="21" t="s">
        <v>217</v>
      </c>
      <c r="K309" s="21" t="s">
        <v>373</v>
      </c>
      <c r="L309" s="134">
        <v>5000</v>
      </c>
      <c r="M309" s="53" t="s">
        <v>63</v>
      </c>
      <c r="N309" s="134">
        <v>15</v>
      </c>
      <c r="O309" s="53" t="s">
        <v>63</v>
      </c>
      <c r="P309" s="134">
        <v>200000</v>
      </c>
      <c r="Q309" s="53" t="s">
        <v>63</v>
      </c>
      <c r="R309" s="134">
        <v>23000</v>
      </c>
      <c r="S309" s="53" t="s">
        <v>63</v>
      </c>
      <c r="T309" s="134">
        <v>2100</v>
      </c>
      <c r="U309" s="53" t="s">
        <v>63</v>
      </c>
      <c r="V309" s="138" t="s">
        <v>430</v>
      </c>
      <c r="W309" s="125"/>
      <c r="X309" s="126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</row>
    <row r="310" s="2" customFormat="1" customHeight="1" spans="1:40">
      <c r="A310" s="5"/>
      <c r="B310" s="127"/>
      <c r="C310" s="128"/>
      <c r="D310" s="128"/>
      <c r="E310" s="129"/>
      <c r="F310" s="13"/>
      <c r="G310" s="13"/>
      <c r="H310" s="13"/>
      <c r="I310" s="13"/>
      <c r="J310" s="135"/>
      <c r="K310" s="135"/>
      <c r="L310" s="135"/>
      <c r="M310" s="43">
        <f>L309/J294-1</f>
        <v>0</v>
      </c>
      <c r="N310" s="135"/>
      <c r="O310" s="43">
        <f>N309/E274-1</f>
        <v>0</v>
      </c>
      <c r="P310" s="135"/>
      <c r="Q310" s="43">
        <f>P309/K294-1</f>
        <v>0.0090308258917311</v>
      </c>
      <c r="R310" s="135"/>
      <c r="S310" s="43">
        <f>R309/L294-1</f>
        <v>0.0262817366471821</v>
      </c>
      <c r="T310" s="135"/>
      <c r="U310" s="43">
        <f>T309/M294-1</f>
        <v>0.0355029585798816</v>
      </c>
      <c r="V310" s="139"/>
      <c r="W310" s="128"/>
      <c r="X310" s="129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</row>
    <row r="311" s="6" customFormat="1" customHeight="1" spans="1:40">
      <c r="A311" s="1"/>
      <c r="B311" s="130"/>
      <c r="C311" s="130"/>
      <c r="D311" s="130"/>
      <c r="E311" s="130"/>
      <c r="F311" s="131"/>
      <c r="G311" s="131"/>
      <c r="H311" s="132"/>
      <c r="I311" s="132"/>
      <c r="J311" s="132"/>
      <c r="K311" s="132"/>
      <c r="L311" s="136"/>
      <c r="M311" s="136"/>
      <c r="N311" s="136"/>
      <c r="O311" s="136"/>
      <c r="P311" s="136"/>
      <c r="Q311" s="136"/>
      <c r="R311" s="1"/>
      <c r="S311" s="1"/>
      <c r="T311" s="1"/>
      <c r="U311" s="136"/>
      <c r="V311" s="1"/>
      <c r="W311" s="1"/>
      <c r="X311" s="1"/>
      <c r="Y311" s="143"/>
      <c r="Z311" s="143"/>
      <c r="AA311" s="143"/>
      <c r="AB311" s="143"/>
      <c r="AC311" s="143"/>
      <c r="AD311" s="143"/>
      <c r="AE311" s="143"/>
      <c r="AF311" s="143"/>
      <c r="AG311" s="143"/>
      <c r="AH311" s="143"/>
      <c r="AI311" s="143"/>
      <c r="AJ311" s="143"/>
      <c r="AK311" s="143"/>
      <c r="AL311" s="143"/>
      <c r="AM311" s="143"/>
      <c r="AN311" s="143"/>
    </row>
    <row r="312" s="2" customFormat="1" customHeight="1" spans="1:40">
      <c r="A312" s="5"/>
      <c r="B312" s="9" t="s">
        <v>14</v>
      </c>
      <c r="C312" s="9"/>
      <c r="D312" s="9"/>
      <c r="E312" s="9"/>
      <c r="F312" s="10"/>
      <c r="G312" s="10"/>
      <c r="H312" s="11"/>
      <c r="I312" s="11"/>
      <c r="J312" s="11" t="s">
        <v>15</v>
      </c>
      <c r="K312" s="11" t="s">
        <v>16</v>
      </c>
      <c r="L312" s="39" t="s">
        <v>18</v>
      </c>
      <c r="M312" s="39"/>
      <c r="N312" s="39" t="s">
        <v>20</v>
      </c>
      <c r="O312" s="39"/>
      <c r="P312" s="39" t="s">
        <v>21</v>
      </c>
      <c r="Q312" s="39"/>
      <c r="R312" s="24" t="s">
        <v>134</v>
      </c>
      <c r="S312" s="24"/>
      <c r="T312" s="24"/>
      <c r="U312" s="83"/>
      <c r="V312" s="5"/>
      <c r="W312" s="5"/>
      <c r="X312" s="5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</row>
    <row r="313" s="2" customFormat="1" customHeight="1" spans="1:40">
      <c r="A313" s="5"/>
      <c r="B313" s="9"/>
      <c r="C313" s="9"/>
      <c r="D313" s="9"/>
      <c r="E313" s="9"/>
      <c r="F313" s="13"/>
      <c r="G313" s="13"/>
      <c r="H313" s="12"/>
      <c r="I313" s="11"/>
      <c r="J313" s="11"/>
      <c r="K313" s="11"/>
      <c r="L313" s="39"/>
      <c r="M313" s="39"/>
      <c r="N313" s="39"/>
      <c r="O313" s="39"/>
      <c r="P313" s="39"/>
      <c r="Q313" s="39"/>
      <c r="R313" s="24"/>
      <c r="S313" s="24"/>
      <c r="T313" s="24"/>
      <c r="U313" s="83"/>
      <c r="V313" s="5"/>
      <c r="W313" s="5"/>
      <c r="X313" s="5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</row>
    <row r="314" s="2" customFormat="1" customHeight="1" spans="1:40">
      <c r="A314" s="5"/>
      <c r="B314" s="12" t="s">
        <v>431</v>
      </c>
      <c r="C314" s="12"/>
      <c r="D314" s="12"/>
      <c r="E314" s="12"/>
      <c r="F314" s="13"/>
      <c r="G314" s="13"/>
      <c r="H314" s="12"/>
      <c r="I314" s="12"/>
      <c r="J314" s="12" t="s">
        <v>52</v>
      </c>
      <c r="K314" s="12" t="s">
        <v>52</v>
      </c>
      <c r="L314" s="42">
        <v>12</v>
      </c>
      <c r="M314" s="41" t="s">
        <v>26</v>
      </c>
      <c r="N314" s="42">
        <v>9000</v>
      </c>
      <c r="O314" s="41" t="s">
        <v>26</v>
      </c>
      <c r="P314" s="42">
        <v>660</v>
      </c>
      <c r="Q314" s="41" t="s">
        <v>26</v>
      </c>
      <c r="R314" s="24" t="s">
        <v>432</v>
      </c>
      <c r="S314" s="12"/>
      <c r="T314" s="12"/>
      <c r="U314" s="140"/>
      <c r="V314" s="5"/>
      <c r="W314" s="5"/>
      <c r="X314" s="5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</row>
    <row r="315" s="2" customFormat="1" customHeight="1" spans="1:40">
      <c r="A315" s="5"/>
      <c r="B315" s="12"/>
      <c r="C315" s="12"/>
      <c r="D315" s="12"/>
      <c r="E315" s="12"/>
      <c r="F315" s="13"/>
      <c r="G315" s="13"/>
      <c r="H315" s="12"/>
      <c r="I315" s="12"/>
      <c r="J315" s="12"/>
      <c r="K315" s="12"/>
      <c r="L315" s="42"/>
      <c r="M315" s="43">
        <f>E322/L314-1</f>
        <v>-0.416666666666667</v>
      </c>
      <c r="N315" s="42"/>
      <c r="O315" s="43">
        <f>J322/N314-1</f>
        <v>-0.419777777777778</v>
      </c>
      <c r="P315" s="42"/>
      <c r="Q315" s="43">
        <f>O322/P314-1</f>
        <v>-0.490909090909091</v>
      </c>
      <c r="R315" s="12"/>
      <c r="S315" s="12"/>
      <c r="T315" s="12"/>
      <c r="U315" s="141"/>
      <c r="V315" s="5"/>
      <c r="W315" s="5"/>
      <c r="X315" s="5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</row>
    <row r="316" s="2" customFormat="1" customHeight="1" spans="1:40">
      <c r="A316" s="5"/>
      <c r="B316" s="14" t="s">
        <v>28</v>
      </c>
      <c r="C316" s="14" t="s">
        <v>17</v>
      </c>
      <c r="D316" s="14" t="s">
        <v>30</v>
      </c>
      <c r="E316" s="14" t="s">
        <v>31</v>
      </c>
      <c r="F316" s="133"/>
      <c r="G316" s="133"/>
      <c r="H316" s="92"/>
      <c r="I316" s="92"/>
      <c r="J316" s="92" t="s">
        <v>433</v>
      </c>
      <c r="K316" s="92" t="s">
        <v>434</v>
      </c>
      <c r="L316" s="92" t="s">
        <v>435</v>
      </c>
      <c r="M316" s="92" t="s">
        <v>436</v>
      </c>
      <c r="N316" s="92" t="s">
        <v>437</v>
      </c>
      <c r="O316" s="92" t="s">
        <v>438</v>
      </c>
      <c r="P316" s="92" t="s">
        <v>38</v>
      </c>
      <c r="Q316" s="92" t="s">
        <v>439</v>
      </c>
      <c r="R316" s="65" t="s">
        <v>440</v>
      </c>
      <c r="S316" s="65" t="s">
        <v>441</v>
      </c>
      <c r="T316" s="65" t="s">
        <v>48</v>
      </c>
      <c r="U316" s="77"/>
      <c r="V316" s="5"/>
      <c r="W316" s="5"/>
      <c r="X316" s="5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</row>
    <row r="317" s="2" customFormat="1" customHeight="1" spans="1:40">
      <c r="A317" s="5"/>
      <c r="B317" s="12" t="s">
        <v>442</v>
      </c>
      <c r="C317" s="12"/>
      <c r="D317" s="12"/>
      <c r="E317" s="12">
        <v>14</v>
      </c>
      <c r="F317" s="13"/>
      <c r="G317" s="13"/>
      <c r="H317" s="12"/>
      <c r="I317" s="12"/>
      <c r="J317" s="12">
        <v>8722</v>
      </c>
      <c r="K317" s="12">
        <v>177</v>
      </c>
      <c r="L317" s="12">
        <v>133</v>
      </c>
      <c r="M317" s="12">
        <v>181</v>
      </c>
      <c r="N317" s="12">
        <v>62</v>
      </c>
      <c r="O317" s="12">
        <f t="shared" ref="O317:O320" si="63">K317+L317+M317+N317</f>
        <v>553</v>
      </c>
      <c r="P317" s="46">
        <f t="shared" ref="P317:P320" si="64">O317/J317</f>
        <v>0.0634028892455859</v>
      </c>
      <c r="Q317" s="12">
        <v>49889</v>
      </c>
      <c r="R317" s="24"/>
      <c r="S317" s="24"/>
      <c r="T317" s="24"/>
      <c r="U317" s="5"/>
      <c r="V317" s="5"/>
      <c r="W317" s="5"/>
      <c r="X317" s="5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</row>
    <row r="318" s="2" customFormat="1" customHeight="1" spans="1:40">
      <c r="A318" s="5"/>
      <c r="B318" s="12" t="s">
        <v>443</v>
      </c>
      <c r="C318" s="12" t="s">
        <v>52</v>
      </c>
      <c r="D318" s="12" t="s">
        <v>52</v>
      </c>
      <c r="E318" s="12">
        <v>15</v>
      </c>
      <c r="F318" s="13"/>
      <c r="G318" s="13"/>
      <c r="H318" s="12"/>
      <c r="I318" s="12"/>
      <c r="J318" s="12">
        <v>7239</v>
      </c>
      <c r="K318" s="12">
        <v>180</v>
      </c>
      <c r="L318" s="12">
        <v>131</v>
      </c>
      <c r="M318" s="12">
        <v>309</v>
      </c>
      <c r="N318" s="12">
        <v>56</v>
      </c>
      <c r="O318" s="12">
        <v>676</v>
      </c>
      <c r="P318" s="46">
        <f t="shared" si="64"/>
        <v>0.0933830639591104</v>
      </c>
      <c r="Q318" s="12">
        <v>50443</v>
      </c>
      <c r="R318" s="24"/>
      <c r="S318" s="24"/>
      <c r="T318" s="24"/>
      <c r="U318" s="5"/>
      <c r="V318" s="5"/>
      <c r="W318" s="5"/>
      <c r="X318" s="5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</row>
    <row r="319" s="2" customFormat="1" customHeight="1" spans="1:40">
      <c r="A319" s="5"/>
      <c r="B319" s="12" t="s">
        <v>141</v>
      </c>
      <c r="C319" s="12" t="s">
        <v>52</v>
      </c>
      <c r="D319" s="12" t="s">
        <v>52</v>
      </c>
      <c r="E319" s="12">
        <v>14</v>
      </c>
      <c r="F319" s="13"/>
      <c r="G319" s="13"/>
      <c r="H319" s="12"/>
      <c r="I319" s="12"/>
      <c r="J319" s="12">
        <v>8267</v>
      </c>
      <c r="K319" s="12">
        <v>125</v>
      </c>
      <c r="L319" s="12">
        <v>94</v>
      </c>
      <c r="M319" s="12">
        <v>162</v>
      </c>
      <c r="N319" s="12">
        <v>33</v>
      </c>
      <c r="O319" s="12">
        <f t="shared" si="63"/>
        <v>414</v>
      </c>
      <c r="P319" s="46">
        <f t="shared" si="64"/>
        <v>0.0500786258618604</v>
      </c>
      <c r="Q319" s="12">
        <v>50781</v>
      </c>
      <c r="R319" s="24"/>
      <c r="S319" s="24"/>
      <c r="T319" s="24"/>
      <c r="U319" s="5"/>
      <c r="V319" s="5"/>
      <c r="W319" s="5"/>
      <c r="X319" s="5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</row>
    <row r="320" s="2" customFormat="1" customHeight="1" spans="1:40">
      <c r="A320" s="5"/>
      <c r="B320" s="12" t="s">
        <v>49</v>
      </c>
      <c r="C320" s="12" t="s">
        <v>52</v>
      </c>
      <c r="D320" s="12" t="s">
        <v>52</v>
      </c>
      <c r="E320" s="12">
        <v>12</v>
      </c>
      <c r="F320" s="13"/>
      <c r="G320" s="13"/>
      <c r="H320" s="12"/>
      <c r="I320" s="12"/>
      <c r="J320" s="12">
        <v>10176</v>
      </c>
      <c r="K320" s="12">
        <v>203</v>
      </c>
      <c r="L320" s="12">
        <v>153</v>
      </c>
      <c r="M320" s="12">
        <v>275</v>
      </c>
      <c r="N320" s="12">
        <v>76</v>
      </c>
      <c r="O320" s="12">
        <f t="shared" si="63"/>
        <v>707</v>
      </c>
      <c r="P320" s="46">
        <f t="shared" si="64"/>
        <v>0.0694772012578616</v>
      </c>
      <c r="Q320" s="12">
        <v>51101</v>
      </c>
      <c r="R320" s="142">
        <v>0.25</v>
      </c>
      <c r="S320" s="142">
        <v>0.75</v>
      </c>
      <c r="T320" s="24">
        <v>12</v>
      </c>
      <c r="U320" s="77"/>
      <c r="V320" s="5"/>
      <c r="W320" s="5"/>
      <c r="X320" s="5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</row>
    <row r="321" s="2" customFormat="1" customHeight="1" spans="1:40">
      <c r="A321" s="5"/>
      <c r="B321" s="12" t="s">
        <v>50</v>
      </c>
      <c r="C321" s="12" t="s">
        <v>52</v>
      </c>
      <c r="D321" s="12" t="s">
        <v>52</v>
      </c>
      <c r="E321" s="12">
        <v>15</v>
      </c>
      <c r="F321" s="13"/>
      <c r="G321" s="13"/>
      <c r="H321" s="12"/>
      <c r="I321" s="12"/>
      <c r="J321" s="12">
        <v>8151</v>
      </c>
      <c r="K321" s="12">
        <v>177</v>
      </c>
      <c r="L321" s="42">
        <v>122</v>
      </c>
      <c r="M321" s="42">
        <v>169</v>
      </c>
      <c r="N321" s="42">
        <v>47</v>
      </c>
      <c r="O321" s="42">
        <v>515</v>
      </c>
      <c r="P321" s="46">
        <v>0.0631824316034842</v>
      </c>
      <c r="Q321" s="42">
        <v>51270</v>
      </c>
      <c r="R321" s="142">
        <v>0.4</v>
      </c>
      <c r="S321" s="142">
        <v>0.6</v>
      </c>
      <c r="T321" s="24">
        <f>E321</f>
        <v>15</v>
      </c>
      <c r="U321" s="77"/>
      <c r="V321" s="5"/>
      <c r="W321" s="5"/>
      <c r="X321" s="5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</row>
    <row r="322" s="2" customFormat="1" customHeight="1" spans="1:40">
      <c r="A322" s="5"/>
      <c r="B322" s="12" t="s">
        <v>51</v>
      </c>
      <c r="C322" s="12" t="s">
        <v>52</v>
      </c>
      <c r="D322" s="12" t="s">
        <v>52</v>
      </c>
      <c r="E322" s="12">
        <v>7</v>
      </c>
      <c r="F322" s="13"/>
      <c r="G322" s="13"/>
      <c r="H322" s="12"/>
      <c r="I322" s="12"/>
      <c r="J322" s="12">
        <v>5222</v>
      </c>
      <c r="K322" s="12">
        <v>103</v>
      </c>
      <c r="L322" s="42">
        <v>87</v>
      </c>
      <c r="M322" s="42">
        <v>125</v>
      </c>
      <c r="N322" s="42">
        <v>21</v>
      </c>
      <c r="O322" s="42">
        <v>336</v>
      </c>
      <c r="P322" s="46">
        <v>0.0643</v>
      </c>
      <c r="Q322" s="42">
        <v>51434</v>
      </c>
      <c r="R322" s="68">
        <v>0.714</v>
      </c>
      <c r="S322" s="68">
        <v>0.286</v>
      </c>
      <c r="T322" s="24">
        <f>E322</f>
        <v>7</v>
      </c>
      <c r="V322" s="5"/>
      <c r="W322" s="5"/>
      <c r="X322" s="5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</row>
    <row r="323" s="2" customFormat="1" customHeight="1" spans="1:40">
      <c r="A323" s="5"/>
      <c r="B323" s="9" t="s">
        <v>53</v>
      </c>
      <c r="C323" s="9"/>
      <c r="D323" s="9"/>
      <c r="E323" s="9"/>
      <c r="F323" s="18"/>
      <c r="G323" s="18"/>
      <c r="H323" s="9"/>
      <c r="I323" s="9"/>
      <c r="J323" s="9" t="s">
        <v>444</v>
      </c>
      <c r="K323" s="9"/>
      <c r="L323" s="11" t="s">
        <v>445</v>
      </c>
      <c r="M323" s="11"/>
      <c r="N323" s="11" t="s">
        <v>446</v>
      </c>
      <c r="O323" s="11"/>
      <c r="P323" s="11" t="s">
        <v>439</v>
      </c>
      <c r="Q323" s="11"/>
      <c r="R323" s="24" t="s">
        <v>55</v>
      </c>
      <c r="S323" s="24"/>
      <c r="T323" s="24"/>
      <c r="U323" s="77"/>
      <c r="V323" s="5"/>
      <c r="W323" s="5"/>
      <c r="X323" s="5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</row>
    <row r="324" s="2" customFormat="1" customHeight="1" spans="1:40">
      <c r="A324" s="5"/>
      <c r="B324" s="12" t="s">
        <v>56</v>
      </c>
      <c r="C324" s="12" t="s">
        <v>57</v>
      </c>
      <c r="D324" s="12"/>
      <c r="E324" s="12" t="s">
        <v>58</v>
      </c>
      <c r="F324" s="19" t="s">
        <v>16</v>
      </c>
      <c r="G324" s="19" t="s">
        <v>60</v>
      </c>
      <c r="H324" s="20" t="s">
        <v>61</v>
      </c>
      <c r="I324" s="20"/>
      <c r="J324" s="12">
        <f>J334</f>
        <v>5222</v>
      </c>
      <c r="K324" s="53" t="s">
        <v>63</v>
      </c>
      <c r="L324" s="12">
        <v>7</v>
      </c>
      <c r="M324" s="53" t="s">
        <v>63</v>
      </c>
      <c r="N324" s="12">
        <f>O334</f>
        <v>336</v>
      </c>
      <c r="O324" s="53" t="s">
        <v>63</v>
      </c>
      <c r="P324" s="12">
        <v>51434</v>
      </c>
      <c r="Q324" s="53" t="s">
        <v>63</v>
      </c>
      <c r="R324" s="24"/>
      <c r="S324" s="24"/>
      <c r="T324" s="24"/>
      <c r="U324" s="140"/>
      <c r="V324" s="5"/>
      <c r="W324" s="5"/>
      <c r="X324" s="5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</row>
    <row r="325" s="2" customFormat="1" customHeight="1" spans="1:40">
      <c r="A325" s="5"/>
      <c r="B325" s="12"/>
      <c r="C325" s="12"/>
      <c r="D325" s="12"/>
      <c r="E325" s="12"/>
      <c r="F325" s="19"/>
      <c r="G325" s="19"/>
      <c r="H325" s="20"/>
      <c r="I325" s="20"/>
      <c r="J325" s="12"/>
      <c r="K325" s="43">
        <f>J324/J321-1</f>
        <v>-0.359342411973991</v>
      </c>
      <c r="L325" s="12"/>
      <c r="M325" s="43">
        <f>L324/E321-1</f>
        <v>-0.533333333333333</v>
      </c>
      <c r="N325" s="12"/>
      <c r="O325" s="43">
        <f>N324/O321-1</f>
        <v>-0.347572815533981</v>
      </c>
      <c r="P325" s="12"/>
      <c r="Q325" s="150">
        <f>P324/Q321-1</f>
        <v>0.00319875170665096</v>
      </c>
      <c r="R325" s="24"/>
      <c r="S325" s="24"/>
      <c r="T325" s="24"/>
      <c r="U325" s="140"/>
      <c r="V325" s="5"/>
      <c r="W325" s="5"/>
      <c r="X325" s="5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</row>
    <row r="326" s="2" customFormat="1" customHeight="1" spans="1:40">
      <c r="A326" s="5"/>
      <c r="B326" s="12"/>
      <c r="C326" s="12"/>
      <c r="D326" s="12"/>
      <c r="E326" s="12"/>
      <c r="F326" s="19"/>
      <c r="G326" s="19"/>
      <c r="H326" s="20"/>
      <c r="I326" s="20"/>
      <c r="J326" s="12" t="s">
        <v>36</v>
      </c>
      <c r="K326" s="12" t="s">
        <v>39</v>
      </c>
      <c r="L326" s="12" t="s">
        <v>447</v>
      </c>
      <c r="M326" s="12" t="s">
        <v>448</v>
      </c>
      <c r="N326" s="12" t="s">
        <v>449</v>
      </c>
      <c r="O326" s="12" t="s">
        <v>438</v>
      </c>
      <c r="P326" s="12" t="s">
        <v>38</v>
      </c>
      <c r="Q326" s="12" t="s">
        <v>450</v>
      </c>
      <c r="R326" s="24" t="s">
        <v>451</v>
      </c>
      <c r="S326" s="24"/>
      <c r="T326" s="24"/>
      <c r="U326" s="5"/>
      <c r="V326" s="5"/>
      <c r="W326" s="5"/>
      <c r="X326" s="5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</row>
    <row r="327" s="2" customFormat="1" customHeight="1" spans="1:40">
      <c r="A327" s="5"/>
      <c r="B327" s="12" t="s">
        <v>452</v>
      </c>
      <c r="C327" s="54" t="s">
        <v>74</v>
      </c>
      <c r="D327" s="12" t="s">
        <v>453</v>
      </c>
      <c r="E327" s="12" t="s">
        <v>454</v>
      </c>
      <c r="F327" s="13" t="s">
        <v>146</v>
      </c>
      <c r="G327" s="13" t="s">
        <v>455</v>
      </c>
      <c r="H327" s="12" t="s">
        <v>456</v>
      </c>
      <c r="I327" s="12"/>
      <c r="J327" s="12">
        <v>675</v>
      </c>
      <c r="K327" s="12">
        <v>15</v>
      </c>
      <c r="L327" s="12">
        <v>8</v>
      </c>
      <c r="M327" s="12">
        <v>5</v>
      </c>
      <c r="N327" s="12">
        <v>2</v>
      </c>
      <c r="O327" s="12">
        <f t="shared" ref="O327:O333" si="65">K327+L327+M327+N327</f>
        <v>30</v>
      </c>
      <c r="P327" s="46">
        <f t="shared" ref="P327:P334" si="66">O327/J327</f>
        <v>0.0444444444444444</v>
      </c>
      <c r="Q327" s="12" t="s">
        <v>457</v>
      </c>
      <c r="R327" s="24"/>
      <c r="S327" s="24"/>
      <c r="T327" s="24"/>
      <c r="U327" s="151"/>
      <c r="V327" s="5"/>
      <c r="W327" s="5"/>
      <c r="X327" s="5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</row>
    <row r="328" s="2" customFormat="1" customHeight="1" spans="1:40">
      <c r="A328" s="5"/>
      <c r="B328" s="12"/>
      <c r="C328" s="54" t="s">
        <v>74</v>
      </c>
      <c r="D328" s="12" t="s">
        <v>458</v>
      </c>
      <c r="E328" s="12" t="s">
        <v>459</v>
      </c>
      <c r="F328" s="13" t="s">
        <v>146</v>
      </c>
      <c r="G328" s="13" t="s">
        <v>460</v>
      </c>
      <c r="H328" s="12" t="s">
        <v>461</v>
      </c>
      <c r="I328" s="12"/>
      <c r="J328" s="12">
        <v>495</v>
      </c>
      <c r="K328" s="12">
        <v>5</v>
      </c>
      <c r="L328" s="12">
        <v>3</v>
      </c>
      <c r="M328" s="12">
        <v>8</v>
      </c>
      <c r="N328" s="12">
        <v>0</v>
      </c>
      <c r="O328" s="12">
        <f t="shared" si="65"/>
        <v>16</v>
      </c>
      <c r="P328" s="46">
        <f t="shared" si="66"/>
        <v>0.0323232323232323</v>
      </c>
      <c r="Q328" s="46" t="s">
        <v>146</v>
      </c>
      <c r="R328" s="24"/>
      <c r="S328" s="24"/>
      <c r="T328" s="24"/>
      <c r="U328" s="151"/>
      <c r="V328" s="5"/>
      <c r="W328" s="5"/>
      <c r="X328" s="5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</row>
    <row r="329" s="2" customFormat="1" customHeight="1" spans="1:40">
      <c r="A329" s="5"/>
      <c r="B329" s="12"/>
      <c r="C329" s="54" t="s">
        <v>74</v>
      </c>
      <c r="D329" s="12" t="s">
        <v>462</v>
      </c>
      <c r="E329" s="12" t="s">
        <v>463</v>
      </c>
      <c r="F329" s="13" t="s">
        <v>146</v>
      </c>
      <c r="G329" s="13" t="s">
        <v>464</v>
      </c>
      <c r="H329" s="12" t="s">
        <v>465</v>
      </c>
      <c r="I329" s="12"/>
      <c r="J329" s="12">
        <v>774</v>
      </c>
      <c r="K329" s="12">
        <v>6</v>
      </c>
      <c r="L329" s="12">
        <v>9</v>
      </c>
      <c r="M329" s="12">
        <v>2</v>
      </c>
      <c r="N329" s="12">
        <v>0</v>
      </c>
      <c r="O329" s="12">
        <f t="shared" si="65"/>
        <v>17</v>
      </c>
      <c r="P329" s="46">
        <f t="shared" si="66"/>
        <v>0.0219638242894057</v>
      </c>
      <c r="Q329" s="12" t="s">
        <v>146</v>
      </c>
      <c r="R329" s="24"/>
      <c r="S329" s="24"/>
      <c r="T329" s="24"/>
      <c r="U329" s="5"/>
      <c r="V329" s="5"/>
      <c r="W329" s="5"/>
      <c r="X329" s="5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</row>
    <row r="330" s="2" customFormat="1" customHeight="1" spans="1:40">
      <c r="A330" s="5"/>
      <c r="B330" s="12"/>
      <c r="C330" s="54" t="s">
        <v>74</v>
      </c>
      <c r="D330" s="12" t="s">
        <v>453</v>
      </c>
      <c r="E330" s="12" t="s">
        <v>466</v>
      </c>
      <c r="F330" s="13" t="s">
        <v>146</v>
      </c>
      <c r="G330" s="13" t="s">
        <v>467</v>
      </c>
      <c r="H330" s="12" t="s">
        <v>468</v>
      </c>
      <c r="I330" s="12"/>
      <c r="J330" s="12">
        <v>1131</v>
      </c>
      <c r="K330" s="12">
        <v>58</v>
      </c>
      <c r="L330" s="12">
        <v>58</v>
      </c>
      <c r="M330" s="12">
        <v>98</v>
      </c>
      <c r="N330" s="12">
        <v>13</v>
      </c>
      <c r="O330" s="12">
        <f t="shared" si="65"/>
        <v>227</v>
      </c>
      <c r="P330" s="46">
        <f t="shared" si="66"/>
        <v>0.200707338638373</v>
      </c>
      <c r="Q330" s="12" t="s">
        <v>469</v>
      </c>
      <c r="R330" s="24"/>
      <c r="S330" s="24"/>
      <c r="T330" s="24"/>
      <c r="U330" s="5"/>
      <c r="V330" s="5"/>
      <c r="W330" s="5"/>
      <c r="X330" s="5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</row>
    <row r="331" s="2" customFormat="1" customHeight="1" spans="1:40">
      <c r="A331" s="5"/>
      <c r="B331" s="12"/>
      <c r="C331" s="54" t="s">
        <v>74</v>
      </c>
      <c r="D331" s="12" t="s">
        <v>470</v>
      </c>
      <c r="E331" s="12" t="s">
        <v>471</v>
      </c>
      <c r="F331" s="13" t="s">
        <v>146</v>
      </c>
      <c r="G331" s="13" t="s">
        <v>472</v>
      </c>
      <c r="H331" s="12" t="s">
        <v>473</v>
      </c>
      <c r="I331" s="9"/>
      <c r="J331" s="12">
        <v>785</v>
      </c>
      <c r="K331" s="12">
        <v>4</v>
      </c>
      <c r="L331" s="12">
        <v>2</v>
      </c>
      <c r="M331" s="12">
        <v>2</v>
      </c>
      <c r="N331" s="12">
        <v>1</v>
      </c>
      <c r="O331" s="12">
        <f t="shared" si="65"/>
        <v>9</v>
      </c>
      <c r="P331" s="46">
        <f t="shared" si="66"/>
        <v>0.0114649681528662</v>
      </c>
      <c r="Q331" s="12" t="s">
        <v>146</v>
      </c>
      <c r="R331" s="24"/>
      <c r="S331" s="24"/>
      <c r="T331" s="24"/>
      <c r="U331" s="77"/>
      <c r="V331" s="5"/>
      <c r="W331" s="5"/>
      <c r="X331" s="5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</row>
    <row r="332" s="2" customFormat="1" customHeight="1" spans="1:40">
      <c r="A332" s="5"/>
      <c r="B332" s="12"/>
      <c r="C332" s="54" t="s">
        <v>74</v>
      </c>
      <c r="D332" s="12" t="s">
        <v>458</v>
      </c>
      <c r="E332" s="12" t="s">
        <v>474</v>
      </c>
      <c r="F332" s="13" t="s">
        <v>146</v>
      </c>
      <c r="G332" s="13" t="s">
        <v>475</v>
      </c>
      <c r="H332" s="12" t="s">
        <v>476</v>
      </c>
      <c r="I332" s="9"/>
      <c r="J332" s="12">
        <v>636</v>
      </c>
      <c r="K332" s="12">
        <v>13</v>
      </c>
      <c r="L332" s="12">
        <v>6</v>
      </c>
      <c r="M332" s="12">
        <v>9</v>
      </c>
      <c r="N332" s="12">
        <v>0</v>
      </c>
      <c r="O332" s="12">
        <f t="shared" si="65"/>
        <v>28</v>
      </c>
      <c r="P332" s="46">
        <f t="shared" si="66"/>
        <v>0.0440251572327044</v>
      </c>
      <c r="Q332" s="12">
        <f>-'[1]6月小红书达人'!Q653</f>
        <v>0</v>
      </c>
      <c r="R332" s="24"/>
      <c r="S332" s="24"/>
      <c r="T332" s="24"/>
      <c r="U332" s="77"/>
      <c r="V332" s="5"/>
      <c r="W332" s="5"/>
      <c r="X332" s="5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</row>
    <row r="333" s="2" customFormat="1" customHeight="1" spans="1:40">
      <c r="A333" s="5"/>
      <c r="B333" s="21"/>
      <c r="C333" s="144" t="s">
        <v>74</v>
      </c>
      <c r="D333" s="21" t="s">
        <v>477</v>
      </c>
      <c r="E333" s="21" t="s">
        <v>478</v>
      </c>
      <c r="F333" s="97" t="s">
        <v>146</v>
      </c>
      <c r="G333" s="97" t="s">
        <v>479</v>
      </c>
      <c r="H333" s="21" t="s">
        <v>480</v>
      </c>
      <c r="I333" s="148"/>
      <c r="J333" s="21">
        <v>726</v>
      </c>
      <c r="K333" s="21">
        <v>2</v>
      </c>
      <c r="L333" s="21">
        <v>1</v>
      </c>
      <c r="M333" s="21">
        <v>1</v>
      </c>
      <c r="N333" s="21">
        <v>5</v>
      </c>
      <c r="O333" s="12">
        <f t="shared" si="65"/>
        <v>9</v>
      </c>
      <c r="P333" s="46">
        <f t="shared" si="66"/>
        <v>0.012396694214876</v>
      </c>
      <c r="Q333" s="21" t="s">
        <v>146</v>
      </c>
      <c r="R333" s="24"/>
      <c r="S333" s="24"/>
      <c r="T333" s="24"/>
      <c r="U333" s="77"/>
      <c r="V333" s="5"/>
      <c r="W333" s="5"/>
      <c r="X333" s="5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</row>
    <row r="334" s="2" customFormat="1" customHeight="1" spans="1:40">
      <c r="A334" s="5"/>
      <c r="B334" s="27" t="s">
        <v>132</v>
      </c>
      <c r="C334" s="27"/>
      <c r="D334" s="27"/>
      <c r="E334" s="27"/>
      <c r="F334" s="145"/>
      <c r="G334" s="145"/>
      <c r="H334" s="146"/>
      <c r="I334" s="146"/>
      <c r="J334" s="27">
        <f t="shared" ref="J334:O334" si="67">SUM(J327:J333)</f>
        <v>5222</v>
      </c>
      <c r="K334" s="27">
        <f t="shared" si="67"/>
        <v>103</v>
      </c>
      <c r="L334" s="27">
        <f t="shared" si="67"/>
        <v>87</v>
      </c>
      <c r="M334" s="27">
        <f t="shared" si="67"/>
        <v>125</v>
      </c>
      <c r="N334" s="27">
        <f t="shared" si="67"/>
        <v>21</v>
      </c>
      <c r="O334" s="27">
        <f t="shared" si="67"/>
        <v>336</v>
      </c>
      <c r="P334" s="59">
        <f t="shared" si="66"/>
        <v>0.064343163538874</v>
      </c>
      <c r="Q334" s="59"/>
      <c r="R334" s="152"/>
      <c r="S334" s="107"/>
      <c r="T334" s="107"/>
      <c r="U334" s="77"/>
      <c r="V334" s="5"/>
      <c r="W334" s="5"/>
      <c r="X334" s="5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</row>
    <row r="335" s="2" customFormat="1" customHeight="1" spans="1:40">
      <c r="A335" s="5"/>
      <c r="B335" s="32" t="s">
        <v>133</v>
      </c>
      <c r="C335" s="32"/>
      <c r="D335" s="32"/>
      <c r="E335" s="147"/>
      <c r="F335" s="11"/>
      <c r="G335" s="10"/>
      <c r="H335" s="11"/>
      <c r="I335" s="11"/>
      <c r="J335" s="149" t="s">
        <v>15</v>
      </c>
      <c r="K335" s="11" t="s">
        <v>16</v>
      </c>
      <c r="L335" s="39" t="s">
        <v>18</v>
      </c>
      <c r="M335" s="39"/>
      <c r="N335" s="39" t="s">
        <v>20</v>
      </c>
      <c r="O335" s="39"/>
      <c r="P335" s="39" t="s">
        <v>21</v>
      </c>
      <c r="Q335" s="153"/>
      <c r="R335" s="24" t="s">
        <v>134</v>
      </c>
      <c r="S335" s="24"/>
      <c r="T335" s="24"/>
      <c r="U335" s="77"/>
      <c r="V335" s="5"/>
      <c r="W335" s="5"/>
      <c r="X335" s="5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</row>
    <row r="336" s="2" customFormat="1" customHeight="1" spans="1:40">
      <c r="A336" s="5"/>
      <c r="B336" s="32"/>
      <c r="C336" s="32"/>
      <c r="D336" s="32"/>
      <c r="E336" s="147"/>
      <c r="F336" s="11"/>
      <c r="G336" s="10"/>
      <c r="H336" s="11"/>
      <c r="I336" s="11"/>
      <c r="J336" s="149"/>
      <c r="K336" s="11"/>
      <c r="L336" s="39"/>
      <c r="M336" s="39"/>
      <c r="N336" s="39"/>
      <c r="O336" s="39"/>
      <c r="P336" s="39"/>
      <c r="Q336" s="153"/>
      <c r="R336" s="24"/>
      <c r="S336" s="24"/>
      <c r="T336" s="24"/>
      <c r="U336" s="77"/>
      <c r="V336" s="5"/>
      <c r="W336" s="5"/>
      <c r="X336" s="5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</row>
    <row r="337" s="2" customFormat="1" ht="27" customHeight="1" spans="1:40">
      <c r="A337" s="5"/>
      <c r="B337" s="12" t="s">
        <v>481</v>
      </c>
      <c r="C337" s="12"/>
      <c r="D337" s="12"/>
      <c r="E337" s="17"/>
      <c r="F337" s="11"/>
      <c r="G337" s="10"/>
      <c r="H337" s="11"/>
      <c r="I337" s="11"/>
      <c r="J337" s="34" t="s">
        <v>52</v>
      </c>
      <c r="K337" s="12" t="s">
        <v>52</v>
      </c>
      <c r="L337" s="42">
        <v>12</v>
      </c>
      <c r="M337" s="53" t="s">
        <v>63</v>
      </c>
      <c r="N337" s="42">
        <v>9000</v>
      </c>
      <c r="O337" s="53" t="s">
        <v>63</v>
      </c>
      <c r="P337" s="42">
        <v>660</v>
      </c>
      <c r="Q337" s="154" t="s">
        <v>63</v>
      </c>
      <c r="R337" s="24" t="s">
        <v>482</v>
      </c>
      <c r="S337" s="12"/>
      <c r="T337" s="12"/>
      <c r="U337" s="77"/>
      <c r="V337" s="5"/>
      <c r="W337" s="5"/>
      <c r="X337" s="5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</row>
    <row r="338" s="2" customFormat="1" customHeight="1" spans="1:40">
      <c r="A338" s="5"/>
      <c r="B338" s="12"/>
      <c r="C338" s="12"/>
      <c r="D338" s="12"/>
      <c r="E338" s="17"/>
      <c r="F338" s="11"/>
      <c r="G338" s="10"/>
      <c r="H338" s="11"/>
      <c r="I338" s="11"/>
      <c r="J338" s="34"/>
      <c r="K338" s="12"/>
      <c r="L338" s="42"/>
      <c r="M338" s="43">
        <f>L337/E322-1</f>
        <v>0.714285714285714</v>
      </c>
      <c r="N338" s="42"/>
      <c r="O338" s="43">
        <f>N337/J322-1</f>
        <v>0.723477594791268</v>
      </c>
      <c r="P338" s="42"/>
      <c r="Q338" s="155">
        <f>P337/O322-1</f>
        <v>0.964285714285714</v>
      </c>
      <c r="R338" s="12"/>
      <c r="S338" s="12"/>
      <c r="T338" s="12"/>
      <c r="U338" s="77"/>
      <c r="V338" s="5"/>
      <c r="W338" s="5"/>
      <c r="X338" s="5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</row>
  </sheetData>
  <autoFilter ref="B1:X343">
    <extLst/>
  </autoFilter>
  <mergeCells count="645">
    <mergeCell ref="B10:E10"/>
    <mergeCell ref="J10:K10"/>
    <mergeCell ref="L10:M10"/>
    <mergeCell ref="N10:O10"/>
    <mergeCell ref="P10:Q10"/>
    <mergeCell ref="R10:S10"/>
    <mergeCell ref="B43:E43"/>
    <mergeCell ref="B58:E58"/>
    <mergeCell ref="J58:K58"/>
    <mergeCell ref="L58:M58"/>
    <mergeCell ref="N58:O58"/>
    <mergeCell ref="P58:Q58"/>
    <mergeCell ref="R58:S58"/>
    <mergeCell ref="B79:E79"/>
    <mergeCell ref="B93:E93"/>
    <mergeCell ref="J93:K93"/>
    <mergeCell ref="L93:M93"/>
    <mergeCell ref="N93:O93"/>
    <mergeCell ref="P93:Q93"/>
    <mergeCell ref="R93:S93"/>
    <mergeCell ref="B104:E104"/>
    <mergeCell ref="B118:E118"/>
    <mergeCell ref="J118:K118"/>
    <mergeCell ref="L118:M118"/>
    <mergeCell ref="N118:O118"/>
    <mergeCell ref="P118:Q118"/>
    <mergeCell ref="R118:S118"/>
    <mergeCell ref="B142:E142"/>
    <mergeCell ref="B155:E155"/>
    <mergeCell ref="J155:K155"/>
    <mergeCell ref="L155:M155"/>
    <mergeCell ref="N155:O155"/>
    <mergeCell ref="P155:Q155"/>
    <mergeCell ref="R155:S155"/>
    <mergeCell ref="B173:E173"/>
    <mergeCell ref="B187:E187"/>
    <mergeCell ref="J187:K187"/>
    <mergeCell ref="L187:M187"/>
    <mergeCell ref="N187:O187"/>
    <mergeCell ref="P187:Q187"/>
    <mergeCell ref="R187:S187"/>
    <mergeCell ref="B203:E203"/>
    <mergeCell ref="B218:E218"/>
    <mergeCell ref="J218:K218"/>
    <mergeCell ref="L218:M218"/>
    <mergeCell ref="N218:O218"/>
    <mergeCell ref="P218:Q218"/>
    <mergeCell ref="R218:S218"/>
    <mergeCell ref="B233:E233"/>
    <mergeCell ref="B247:E247"/>
    <mergeCell ref="J247:K247"/>
    <mergeCell ref="L247:M247"/>
    <mergeCell ref="N247:O247"/>
    <mergeCell ref="P247:Q247"/>
    <mergeCell ref="R247:S247"/>
    <mergeCell ref="B260:E260"/>
    <mergeCell ref="B275:E275"/>
    <mergeCell ref="J275:K275"/>
    <mergeCell ref="L275:M275"/>
    <mergeCell ref="N275:O275"/>
    <mergeCell ref="P275:Q275"/>
    <mergeCell ref="R275:S275"/>
    <mergeCell ref="B306:E306"/>
    <mergeCell ref="B323:E323"/>
    <mergeCell ref="J323:K323"/>
    <mergeCell ref="L323:M323"/>
    <mergeCell ref="N323:O323"/>
    <mergeCell ref="P323:Q323"/>
    <mergeCell ref="B334:E334"/>
    <mergeCell ref="B11:B13"/>
    <mergeCell ref="B14:B42"/>
    <mergeCell ref="B59:B61"/>
    <mergeCell ref="B62:B78"/>
    <mergeCell ref="B94:B96"/>
    <mergeCell ref="B97:B103"/>
    <mergeCell ref="B119:B121"/>
    <mergeCell ref="B122:B141"/>
    <mergeCell ref="B156:B158"/>
    <mergeCell ref="B159:B172"/>
    <mergeCell ref="B188:B190"/>
    <mergeCell ref="B191:B202"/>
    <mergeCell ref="B219:B221"/>
    <mergeCell ref="B222:B232"/>
    <mergeCell ref="B248:B250"/>
    <mergeCell ref="B251:B259"/>
    <mergeCell ref="B276:B278"/>
    <mergeCell ref="B279:B305"/>
    <mergeCell ref="B324:B326"/>
    <mergeCell ref="B327:B333"/>
    <mergeCell ref="D14:D19"/>
    <mergeCell ref="D20:D21"/>
    <mergeCell ref="D23:D41"/>
    <mergeCell ref="D62:D67"/>
    <mergeCell ref="D68:D75"/>
    <mergeCell ref="D97:D102"/>
    <mergeCell ref="D122:D125"/>
    <mergeCell ref="D127:D140"/>
    <mergeCell ref="D159:D164"/>
    <mergeCell ref="D167:D171"/>
    <mergeCell ref="D191:D195"/>
    <mergeCell ref="D197:D201"/>
    <mergeCell ref="D222:D225"/>
    <mergeCell ref="D227:D231"/>
    <mergeCell ref="D251:D254"/>
    <mergeCell ref="D255:D258"/>
    <mergeCell ref="D279:D293"/>
    <mergeCell ref="D295:D304"/>
    <mergeCell ref="E11:E13"/>
    <mergeCell ref="E59:E61"/>
    <mergeCell ref="E94:E96"/>
    <mergeCell ref="E119:E121"/>
    <mergeCell ref="E156:E158"/>
    <mergeCell ref="E188:E190"/>
    <mergeCell ref="E219:E221"/>
    <mergeCell ref="E248:E250"/>
    <mergeCell ref="E276:E278"/>
    <mergeCell ref="E324:E326"/>
    <mergeCell ref="F11:F13"/>
    <mergeCell ref="F59:F61"/>
    <mergeCell ref="F94:F96"/>
    <mergeCell ref="F119:F121"/>
    <mergeCell ref="F156:F158"/>
    <mergeCell ref="F188:F190"/>
    <mergeCell ref="F219:F221"/>
    <mergeCell ref="F248:F250"/>
    <mergeCell ref="F276:F278"/>
    <mergeCell ref="F324:F326"/>
    <mergeCell ref="G11:G13"/>
    <mergeCell ref="G23:G41"/>
    <mergeCell ref="G59:G61"/>
    <mergeCell ref="G94:G96"/>
    <mergeCell ref="G119:G121"/>
    <mergeCell ref="G127:G140"/>
    <mergeCell ref="G156:G158"/>
    <mergeCell ref="G167:G171"/>
    <mergeCell ref="G188:G190"/>
    <mergeCell ref="G197:G201"/>
    <mergeCell ref="G219:G221"/>
    <mergeCell ref="G227:G231"/>
    <mergeCell ref="G248:G250"/>
    <mergeCell ref="G276:G278"/>
    <mergeCell ref="G295:G304"/>
    <mergeCell ref="G324:G326"/>
    <mergeCell ref="H11:H13"/>
    <mergeCell ref="H23:H41"/>
    <mergeCell ref="H59:H61"/>
    <mergeCell ref="H94:H96"/>
    <mergeCell ref="H119:H121"/>
    <mergeCell ref="H127:H140"/>
    <mergeCell ref="H156:H158"/>
    <mergeCell ref="H167:H171"/>
    <mergeCell ref="H188:H190"/>
    <mergeCell ref="H197:H201"/>
    <mergeCell ref="H219:H221"/>
    <mergeCell ref="H227:H231"/>
    <mergeCell ref="H248:H250"/>
    <mergeCell ref="H276:H278"/>
    <mergeCell ref="H295:H304"/>
    <mergeCell ref="H324:H326"/>
    <mergeCell ref="I11:I13"/>
    <mergeCell ref="I59:I61"/>
    <mergeCell ref="I94:I96"/>
    <mergeCell ref="I119:I121"/>
    <mergeCell ref="I156:I158"/>
    <mergeCell ref="I188:I190"/>
    <mergeCell ref="I219:I221"/>
    <mergeCell ref="I248:I250"/>
    <mergeCell ref="I276:I278"/>
    <mergeCell ref="I324:I326"/>
    <mergeCell ref="J2:J3"/>
    <mergeCell ref="J4:J5"/>
    <mergeCell ref="J11:J12"/>
    <mergeCell ref="J44:J45"/>
    <mergeCell ref="J46:J47"/>
    <mergeCell ref="J49:J50"/>
    <mergeCell ref="J51:J52"/>
    <mergeCell ref="J59:J60"/>
    <mergeCell ref="J80:J81"/>
    <mergeCell ref="J82:J83"/>
    <mergeCell ref="J85:J86"/>
    <mergeCell ref="J87:J88"/>
    <mergeCell ref="J94:J95"/>
    <mergeCell ref="J105:J106"/>
    <mergeCell ref="J107:J108"/>
    <mergeCell ref="J110:J111"/>
    <mergeCell ref="J112:J113"/>
    <mergeCell ref="J119:J120"/>
    <mergeCell ref="J143:J144"/>
    <mergeCell ref="J145:J146"/>
    <mergeCell ref="J148:J149"/>
    <mergeCell ref="J150:J151"/>
    <mergeCell ref="J156:J157"/>
    <mergeCell ref="J174:J175"/>
    <mergeCell ref="J176:J177"/>
    <mergeCell ref="J179:J180"/>
    <mergeCell ref="J181:J182"/>
    <mergeCell ref="J188:J189"/>
    <mergeCell ref="J204:J205"/>
    <mergeCell ref="J206:J207"/>
    <mergeCell ref="J210:J211"/>
    <mergeCell ref="J212:J213"/>
    <mergeCell ref="J219:J220"/>
    <mergeCell ref="J234:J235"/>
    <mergeCell ref="J236:J237"/>
    <mergeCell ref="J239:J240"/>
    <mergeCell ref="J241:J242"/>
    <mergeCell ref="J248:J249"/>
    <mergeCell ref="J261:J262"/>
    <mergeCell ref="J263:J264"/>
    <mergeCell ref="J267:J268"/>
    <mergeCell ref="J269:J270"/>
    <mergeCell ref="J276:J277"/>
    <mergeCell ref="J307:J308"/>
    <mergeCell ref="J309:J310"/>
    <mergeCell ref="J312:J313"/>
    <mergeCell ref="J314:J315"/>
    <mergeCell ref="J324:J325"/>
    <mergeCell ref="J335:J336"/>
    <mergeCell ref="J337:J338"/>
    <mergeCell ref="K2:K3"/>
    <mergeCell ref="K4:K5"/>
    <mergeCell ref="K44:K45"/>
    <mergeCell ref="K46:K47"/>
    <mergeCell ref="K49:K50"/>
    <mergeCell ref="K51:K52"/>
    <mergeCell ref="K80:K81"/>
    <mergeCell ref="K82:K83"/>
    <mergeCell ref="K85:K86"/>
    <mergeCell ref="K87:K88"/>
    <mergeCell ref="K105:K106"/>
    <mergeCell ref="K107:K108"/>
    <mergeCell ref="K110:K111"/>
    <mergeCell ref="K112:K113"/>
    <mergeCell ref="K143:K144"/>
    <mergeCell ref="K145:K146"/>
    <mergeCell ref="K148:K149"/>
    <mergeCell ref="K150:K151"/>
    <mergeCell ref="K174:K175"/>
    <mergeCell ref="K176:K177"/>
    <mergeCell ref="K179:K180"/>
    <mergeCell ref="K181:K182"/>
    <mergeCell ref="K204:K205"/>
    <mergeCell ref="K206:K207"/>
    <mergeCell ref="K210:K211"/>
    <mergeCell ref="K212:K213"/>
    <mergeCell ref="K234:K235"/>
    <mergeCell ref="K236:K237"/>
    <mergeCell ref="K239:K240"/>
    <mergeCell ref="K241:K242"/>
    <mergeCell ref="K261:K262"/>
    <mergeCell ref="K263:K264"/>
    <mergeCell ref="K267:K268"/>
    <mergeCell ref="K269:K270"/>
    <mergeCell ref="K307:K308"/>
    <mergeCell ref="K309:K310"/>
    <mergeCell ref="K312:K313"/>
    <mergeCell ref="K314:K315"/>
    <mergeCell ref="K335:K336"/>
    <mergeCell ref="K337:K338"/>
    <mergeCell ref="L4:L5"/>
    <mergeCell ref="L11:L12"/>
    <mergeCell ref="L46:L47"/>
    <mergeCell ref="L51:L52"/>
    <mergeCell ref="L59:L60"/>
    <mergeCell ref="L82:L83"/>
    <mergeCell ref="L87:L88"/>
    <mergeCell ref="L94:L95"/>
    <mergeCell ref="L107:L108"/>
    <mergeCell ref="L112:L113"/>
    <mergeCell ref="L119:L120"/>
    <mergeCell ref="L145:L146"/>
    <mergeCell ref="L150:L151"/>
    <mergeCell ref="L156:L157"/>
    <mergeCell ref="L176:L177"/>
    <mergeCell ref="L181:L182"/>
    <mergeCell ref="L188:L189"/>
    <mergeCell ref="L206:L207"/>
    <mergeCell ref="L212:L213"/>
    <mergeCell ref="L219:L220"/>
    <mergeCell ref="L236:L237"/>
    <mergeCell ref="L241:L242"/>
    <mergeCell ref="L248:L249"/>
    <mergeCell ref="L263:L264"/>
    <mergeCell ref="L269:L270"/>
    <mergeCell ref="L276:L277"/>
    <mergeCell ref="L309:L310"/>
    <mergeCell ref="L314:L315"/>
    <mergeCell ref="L324:L325"/>
    <mergeCell ref="L337:L338"/>
    <mergeCell ref="N4:N5"/>
    <mergeCell ref="N11:N12"/>
    <mergeCell ref="N46:N47"/>
    <mergeCell ref="N51:N52"/>
    <mergeCell ref="N59:N60"/>
    <mergeCell ref="N82:N83"/>
    <mergeCell ref="N87:N88"/>
    <mergeCell ref="N94:N95"/>
    <mergeCell ref="N107:N108"/>
    <mergeCell ref="N112:N113"/>
    <mergeCell ref="N119:N120"/>
    <mergeCell ref="N145:N146"/>
    <mergeCell ref="N150:N151"/>
    <mergeCell ref="N156:N157"/>
    <mergeCell ref="N176:N177"/>
    <mergeCell ref="N181:N182"/>
    <mergeCell ref="N188:N189"/>
    <mergeCell ref="N206:N207"/>
    <mergeCell ref="N212:N213"/>
    <mergeCell ref="N219:N220"/>
    <mergeCell ref="N236:N237"/>
    <mergeCell ref="N241:N242"/>
    <mergeCell ref="N248:N249"/>
    <mergeCell ref="N263:N264"/>
    <mergeCell ref="N269:N270"/>
    <mergeCell ref="N276:N277"/>
    <mergeCell ref="N309:N310"/>
    <mergeCell ref="N314:N315"/>
    <mergeCell ref="N324:N325"/>
    <mergeCell ref="N337:N338"/>
    <mergeCell ref="P4:P5"/>
    <mergeCell ref="P11:P12"/>
    <mergeCell ref="P46:P47"/>
    <mergeCell ref="P51:P52"/>
    <mergeCell ref="P59:P60"/>
    <mergeCell ref="P82:P83"/>
    <mergeCell ref="P87:P88"/>
    <mergeCell ref="P94:P95"/>
    <mergeCell ref="P107:P108"/>
    <mergeCell ref="P112:P113"/>
    <mergeCell ref="P119:P120"/>
    <mergeCell ref="P145:P146"/>
    <mergeCell ref="P150:P151"/>
    <mergeCell ref="P156:P157"/>
    <mergeCell ref="P176:P177"/>
    <mergeCell ref="P181:P182"/>
    <mergeCell ref="P188:P189"/>
    <mergeCell ref="P206:P207"/>
    <mergeCell ref="P212:P213"/>
    <mergeCell ref="P219:P220"/>
    <mergeCell ref="P236:P237"/>
    <mergeCell ref="P241:P242"/>
    <mergeCell ref="P248:P249"/>
    <mergeCell ref="P263:P264"/>
    <mergeCell ref="P269:P270"/>
    <mergeCell ref="P276:P277"/>
    <mergeCell ref="P309:P310"/>
    <mergeCell ref="P314:P315"/>
    <mergeCell ref="P324:P325"/>
    <mergeCell ref="P337:P338"/>
    <mergeCell ref="R4:R5"/>
    <mergeCell ref="R11:R12"/>
    <mergeCell ref="R23:R41"/>
    <mergeCell ref="R46:R47"/>
    <mergeCell ref="R51:R52"/>
    <mergeCell ref="R59:R60"/>
    <mergeCell ref="R82:R83"/>
    <mergeCell ref="R87:R88"/>
    <mergeCell ref="R94:R95"/>
    <mergeCell ref="R107:R108"/>
    <mergeCell ref="R112:R113"/>
    <mergeCell ref="R119:R120"/>
    <mergeCell ref="R127:R140"/>
    <mergeCell ref="R145:R146"/>
    <mergeCell ref="R150:R151"/>
    <mergeCell ref="R156:R157"/>
    <mergeCell ref="R167:R171"/>
    <mergeCell ref="R176:R177"/>
    <mergeCell ref="R181:R182"/>
    <mergeCell ref="R188:R189"/>
    <mergeCell ref="R197:R201"/>
    <mergeCell ref="R206:R207"/>
    <mergeCell ref="R212:R213"/>
    <mergeCell ref="R219:R220"/>
    <mergeCell ref="R227:R231"/>
    <mergeCell ref="R236:R237"/>
    <mergeCell ref="R241:R242"/>
    <mergeCell ref="R248:R249"/>
    <mergeCell ref="R263:R264"/>
    <mergeCell ref="R269:R270"/>
    <mergeCell ref="R276:R277"/>
    <mergeCell ref="R309:R310"/>
    <mergeCell ref="S23:S41"/>
    <mergeCell ref="S127:S140"/>
    <mergeCell ref="S167:S171"/>
    <mergeCell ref="S197:S201"/>
    <mergeCell ref="S227:S231"/>
    <mergeCell ref="T4:T5"/>
    <mergeCell ref="T11:T12"/>
    <mergeCell ref="T46:T47"/>
    <mergeCell ref="T51:T52"/>
    <mergeCell ref="T59:T60"/>
    <mergeCell ref="T82:T83"/>
    <mergeCell ref="T87:T88"/>
    <mergeCell ref="T94:T95"/>
    <mergeCell ref="T107:T108"/>
    <mergeCell ref="T112:T113"/>
    <mergeCell ref="T119:T120"/>
    <mergeCell ref="T145:T146"/>
    <mergeCell ref="T150:T151"/>
    <mergeCell ref="T156:T157"/>
    <mergeCell ref="T176:T177"/>
    <mergeCell ref="T181:T182"/>
    <mergeCell ref="T188:T189"/>
    <mergeCell ref="T206:T207"/>
    <mergeCell ref="T212:T213"/>
    <mergeCell ref="T219:T220"/>
    <mergeCell ref="T236:T237"/>
    <mergeCell ref="T241:T242"/>
    <mergeCell ref="T248:T249"/>
    <mergeCell ref="T263:T264"/>
    <mergeCell ref="T269:T270"/>
    <mergeCell ref="T276:T277"/>
    <mergeCell ref="T309:T310"/>
    <mergeCell ref="U11:U12"/>
    <mergeCell ref="U59:U60"/>
    <mergeCell ref="U94:U95"/>
    <mergeCell ref="U119:U120"/>
    <mergeCell ref="U156:U157"/>
    <mergeCell ref="U188:U189"/>
    <mergeCell ref="U219:U220"/>
    <mergeCell ref="U248:U249"/>
    <mergeCell ref="U276:U277"/>
    <mergeCell ref="B2:E3"/>
    <mergeCell ref="L2:M3"/>
    <mergeCell ref="N2:O3"/>
    <mergeCell ref="P2:Q3"/>
    <mergeCell ref="R2:S3"/>
    <mergeCell ref="T2:U3"/>
    <mergeCell ref="V2:X3"/>
    <mergeCell ref="B4:E5"/>
    <mergeCell ref="V4:X5"/>
    <mergeCell ref="V10:X12"/>
    <mergeCell ref="C11:D13"/>
    <mergeCell ref="V13:X43"/>
    <mergeCell ref="B44:E45"/>
    <mergeCell ref="H44:I47"/>
    <mergeCell ref="L44:M45"/>
    <mergeCell ref="N44:O45"/>
    <mergeCell ref="P44:Q45"/>
    <mergeCell ref="R44:S45"/>
    <mergeCell ref="T44:U45"/>
    <mergeCell ref="V44:X45"/>
    <mergeCell ref="B46:E47"/>
    <mergeCell ref="F46:G47"/>
    <mergeCell ref="V46:X47"/>
    <mergeCell ref="B49:E50"/>
    <mergeCell ref="L49:M50"/>
    <mergeCell ref="N49:O50"/>
    <mergeCell ref="P49:Q50"/>
    <mergeCell ref="R49:S50"/>
    <mergeCell ref="T49:U50"/>
    <mergeCell ref="V49:X50"/>
    <mergeCell ref="B51:E52"/>
    <mergeCell ref="V51:X52"/>
    <mergeCell ref="V58:X60"/>
    <mergeCell ref="C59:D61"/>
    <mergeCell ref="V61:X77"/>
    <mergeCell ref="V78:X79"/>
    <mergeCell ref="B80:E81"/>
    <mergeCell ref="H80:I83"/>
    <mergeCell ref="L80:M81"/>
    <mergeCell ref="N80:O81"/>
    <mergeCell ref="P80:Q81"/>
    <mergeCell ref="R80:S81"/>
    <mergeCell ref="T80:U81"/>
    <mergeCell ref="V80:X81"/>
    <mergeCell ref="B82:E83"/>
    <mergeCell ref="F82:G83"/>
    <mergeCell ref="V82:X83"/>
    <mergeCell ref="B85:E86"/>
    <mergeCell ref="L85:M86"/>
    <mergeCell ref="N85:O86"/>
    <mergeCell ref="P85:Q86"/>
    <mergeCell ref="R85:S86"/>
    <mergeCell ref="T85:U86"/>
    <mergeCell ref="V85:X86"/>
    <mergeCell ref="B87:E88"/>
    <mergeCell ref="V87:X88"/>
    <mergeCell ref="V93:X95"/>
    <mergeCell ref="C94:D96"/>
    <mergeCell ref="V96:X104"/>
    <mergeCell ref="B105:E106"/>
    <mergeCell ref="H105:I108"/>
    <mergeCell ref="L105:M106"/>
    <mergeCell ref="N105:O106"/>
    <mergeCell ref="P105:Q106"/>
    <mergeCell ref="R105:S106"/>
    <mergeCell ref="T105:U106"/>
    <mergeCell ref="V105:X106"/>
    <mergeCell ref="B107:E108"/>
    <mergeCell ref="F107:G108"/>
    <mergeCell ref="V107:X108"/>
    <mergeCell ref="B110:E111"/>
    <mergeCell ref="L110:M111"/>
    <mergeCell ref="N110:O111"/>
    <mergeCell ref="P110:Q111"/>
    <mergeCell ref="R110:S111"/>
    <mergeCell ref="T110:U111"/>
    <mergeCell ref="V110:X111"/>
    <mergeCell ref="B112:E113"/>
    <mergeCell ref="V112:X113"/>
    <mergeCell ref="V118:X120"/>
    <mergeCell ref="C119:D121"/>
    <mergeCell ref="V121:X142"/>
    <mergeCell ref="B143:E144"/>
    <mergeCell ref="H143:I146"/>
    <mergeCell ref="L143:M144"/>
    <mergeCell ref="N143:O144"/>
    <mergeCell ref="P143:Q144"/>
    <mergeCell ref="R143:S144"/>
    <mergeCell ref="T143:U144"/>
    <mergeCell ref="V143:X144"/>
    <mergeCell ref="B145:E146"/>
    <mergeCell ref="F145:G146"/>
    <mergeCell ref="V145:X146"/>
    <mergeCell ref="B148:E149"/>
    <mergeCell ref="L148:M149"/>
    <mergeCell ref="N148:O149"/>
    <mergeCell ref="P148:Q149"/>
    <mergeCell ref="R148:S149"/>
    <mergeCell ref="T148:U149"/>
    <mergeCell ref="V148:X149"/>
    <mergeCell ref="B150:E151"/>
    <mergeCell ref="V150:X151"/>
    <mergeCell ref="V155:X157"/>
    <mergeCell ref="C156:D158"/>
    <mergeCell ref="V158:X173"/>
    <mergeCell ref="B174:E175"/>
    <mergeCell ref="H174:I177"/>
    <mergeCell ref="L174:M175"/>
    <mergeCell ref="N174:O175"/>
    <mergeCell ref="P174:Q175"/>
    <mergeCell ref="R174:S175"/>
    <mergeCell ref="T174:U175"/>
    <mergeCell ref="V174:X175"/>
    <mergeCell ref="B176:E177"/>
    <mergeCell ref="F176:G177"/>
    <mergeCell ref="V176:X177"/>
    <mergeCell ref="B179:E180"/>
    <mergeCell ref="L179:M180"/>
    <mergeCell ref="N179:O180"/>
    <mergeCell ref="P179:Q180"/>
    <mergeCell ref="R179:S180"/>
    <mergeCell ref="T179:U180"/>
    <mergeCell ref="V179:X180"/>
    <mergeCell ref="B181:E182"/>
    <mergeCell ref="V181:X182"/>
    <mergeCell ref="V187:X189"/>
    <mergeCell ref="C188:D190"/>
    <mergeCell ref="V190:X203"/>
    <mergeCell ref="B204:E205"/>
    <mergeCell ref="H204:I207"/>
    <mergeCell ref="L204:M205"/>
    <mergeCell ref="N204:O205"/>
    <mergeCell ref="P204:Q205"/>
    <mergeCell ref="R204:S205"/>
    <mergeCell ref="T204:U205"/>
    <mergeCell ref="V204:X205"/>
    <mergeCell ref="B206:E207"/>
    <mergeCell ref="F206:G207"/>
    <mergeCell ref="V206:X207"/>
    <mergeCell ref="B210:E211"/>
    <mergeCell ref="L210:M211"/>
    <mergeCell ref="N210:O211"/>
    <mergeCell ref="P210:Q211"/>
    <mergeCell ref="R210:S211"/>
    <mergeCell ref="T210:U211"/>
    <mergeCell ref="V210:X211"/>
    <mergeCell ref="B212:E213"/>
    <mergeCell ref="V212:X213"/>
    <mergeCell ref="V218:X220"/>
    <mergeCell ref="C219:D221"/>
    <mergeCell ref="V221:X233"/>
    <mergeCell ref="B234:E235"/>
    <mergeCell ref="H234:I237"/>
    <mergeCell ref="L234:M235"/>
    <mergeCell ref="N234:O235"/>
    <mergeCell ref="P234:Q235"/>
    <mergeCell ref="R234:S235"/>
    <mergeCell ref="T234:U235"/>
    <mergeCell ref="V234:X235"/>
    <mergeCell ref="B236:E237"/>
    <mergeCell ref="F236:G237"/>
    <mergeCell ref="V236:X237"/>
    <mergeCell ref="B239:E240"/>
    <mergeCell ref="L239:M240"/>
    <mergeCell ref="N239:O240"/>
    <mergeCell ref="P239:Q240"/>
    <mergeCell ref="R239:S240"/>
    <mergeCell ref="T239:U240"/>
    <mergeCell ref="V239:X240"/>
    <mergeCell ref="B241:E242"/>
    <mergeCell ref="V241:X242"/>
    <mergeCell ref="V247:X249"/>
    <mergeCell ref="C248:D250"/>
    <mergeCell ref="V250:X260"/>
    <mergeCell ref="B261:E262"/>
    <mergeCell ref="H261:I264"/>
    <mergeCell ref="L261:M262"/>
    <mergeCell ref="N261:O262"/>
    <mergeCell ref="P261:Q262"/>
    <mergeCell ref="R261:S262"/>
    <mergeCell ref="T261:U262"/>
    <mergeCell ref="V261:X262"/>
    <mergeCell ref="B263:E264"/>
    <mergeCell ref="F263:G264"/>
    <mergeCell ref="V263:X264"/>
    <mergeCell ref="B267:E268"/>
    <mergeCell ref="L267:M268"/>
    <mergeCell ref="N267:O268"/>
    <mergeCell ref="P267:Q268"/>
    <mergeCell ref="R267:S268"/>
    <mergeCell ref="T267:U268"/>
    <mergeCell ref="V267:X268"/>
    <mergeCell ref="B269:E270"/>
    <mergeCell ref="V269:X270"/>
    <mergeCell ref="V275:X277"/>
    <mergeCell ref="C276:D278"/>
    <mergeCell ref="V278:X306"/>
    <mergeCell ref="B307:E308"/>
    <mergeCell ref="L307:M308"/>
    <mergeCell ref="N307:O308"/>
    <mergeCell ref="P307:Q308"/>
    <mergeCell ref="R307:S308"/>
    <mergeCell ref="T307:U308"/>
    <mergeCell ref="V307:X308"/>
    <mergeCell ref="B309:E310"/>
    <mergeCell ref="V309:X310"/>
    <mergeCell ref="B312:E313"/>
    <mergeCell ref="L312:M313"/>
    <mergeCell ref="N312:O313"/>
    <mergeCell ref="P312:Q313"/>
    <mergeCell ref="R312:T313"/>
    <mergeCell ref="B314:E315"/>
    <mergeCell ref="R314:T315"/>
    <mergeCell ref="R323:T325"/>
    <mergeCell ref="C324:D326"/>
    <mergeCell ref="R326:T334"/>
    <mergeCell ref="B335:E336"/>
    <mergeCell ref="L335:M336"/>
    <mergeCell ref="N335:O336"/>
    <mergeCell ref="P335:Q336"/>
    <mergeCell ref="R335:T336"/>
    <mergeCell ref="B337:E338"/>
    <mergeCell ref="R337:T33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考核维度</vt:lpstr>
      <vt:lpstr>小红书6月月报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俞[爱心]蕾</cp:lastModifiedBy>
  <dcterms:created xsi:type="dcterms:W3CDTF">2006-09-16T00:00:00Z</dcterms:created>
  <dcterms:modified xsi:type="dcterms:W3CDTF">2024-07-03T12:59:41Z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71233BEF53D74BDA837C7FB8C380F4CA_12</vt:lpwstr>
  </property>
  <property fmtid="{D5CDD505-2E9C-101B-9397-08002B2CF9AE}" pid="3" name="KSOProductBuildVer">
    <vt:lpwstr>2052-12.1.0.16929</vt:lpwstr>
  </property>
</Properties>
</file>